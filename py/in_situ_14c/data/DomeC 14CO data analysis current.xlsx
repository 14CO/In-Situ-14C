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petrenko/Documents/Box Sync/UR Ice Core Lab Docs/Current Projects/DomeC 14CO and 14CH4/14CO Interpretation/14CO Data Analysis and Corrections/"/>
    </mc:Choice>
  </mc:AlternateContent>
  <xr:revisionPtr revIDLastSave="0" documentId="13_ncr:1_{4A435FDF-C49D-0241-822C-7CD4340632FD}" xr6:coauthVersionLast="47" xr6:coauthVersionMax="47" xr10:uidLastSave="{00000000-0000-0000-0000-000000000000}"/>
  <bookViews>
    <workbookView xWindow="400" yWindow="1040" windowWidth="36960" windowHeight="20560" activeTab="6" xr2:uid="{EE23D98B-3D33-5044-B785-76D1529AFF7C}"/>
  </bookViews>
  <sheets>
    <sheet name="Empir ANSTO corr wheel2 only " sheetId="2" r:id="rId1"/>
    <sheet name="Empir ANSTO corr" sheetId="4" r:id="rId2"/>
    <sheet name="14CO analysis" sheetId="3" r:id="rId3"/>
    <sheet name="14C-free water blanks" sheetId="6" r:id="rId4"/>
    <sheet name="Hot melter wall blank" sheetId="7" r:id="rId5"/>
    <sheet name="Air Content" sheetId="5" r:id="rId6"/>
    <sheet name="14CO vs depth" sheetId="1" r:id="rId7"/>
    <sheet name="Sheet3"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44" i="3" l="1"/>
  <c r="AV44" i="3"/>
  <c r="AU45" i="3"/>
  <c r="AV45" i="3"/>
  <c r="AU46" i="3"/>
  <c r="AV46" i="3"/>
  <c r="AU48" i="3"/>
  <c r="AV48" i="3"/>
  <c r="AU49" i="3"/>
  <c r="AV49" i="3"/>
  <c r="AU50" i="3"/>
  <c r="AV50" i="3"/>
  <c r="AU52" i="3"/>
  <c r="AV52" i="3"/>
  <c r="AU53" i="3"/>
  <c r="AV53" i="3"/>
  <c r="AU54" i="3"/>
  <c r="AV54" i="3"/>
  <c r="AU55" i="3"/>
  <c r="AV55" i="3"/>
  <c r="AU56" i="3"/>
  <c r="AV56" i="3"/>
  <c r="AU58" i="3"/>
  <c r="AV58" i="3"/>
  <c r="AU59" i="3"/>
  <c r="AV59" i="3"/>
  <c r="AU60" i="3"/>
  <c r="AV60" i="3"/>
  <c r="AU61" i="3"/>
  <c r="AV61" i="3"/>
  <c r="AU63" i="3"/>
  <c r="AV63" i="3"/>
  <c r="AV43" i="3"/>
  <c r="AU43" i="3"/>
  <c r="AS44" i="3"/>
  <c r="AT44" i="3"/>
  <c r="AS45" i="3"/>
  <c r="AT45" i="3"/>
  <c r="AS46" i="3"/>
  <c r="AT46" i="3"/>
  <c r="AS48" i="3"/>
  <c r="AT48" i="3"/>
  <c r="AS49" i="3"/>
  <c r="AT49" i="3"/>
  <c r="AS50" i="3"/>
  <c r="AT50" i="3"/>
  <c r="AS52" i="3"/>
  <c r="AT52" i="3"/>
  <c r="AS53" i="3"/>
  <c r="AT53" i="3"/>
  <c r="AS54" i="3"/>
  <c r="AT54" i="3"/>
  <c r="AS55" i="3"/>
  <c r="AT55" i="3"/>
  <c r="AS56" i="3"/>
  <c r="AT56" i="3"/>
  <c r="AS58" i="3"/>
  <c r="AT58" i="3"/>
  <c r="AS60" i="3"/>
  <c r="AT60" i="3"/>
  <c r="AS61" i="3"/>
  <c r="AT61" i="3"/>
  <c r="AS63" i="3"/>
  <c r="AT63" i="3"/>
  <c r="AT43" i="3"/>
  <c r="AS43" i="3"/>
  <c r="AR63" i="3"/>
  <c r="AR61" i="3"/>
  <c r="AR58" i="3"/>
  <c r="AR56" i="3"/>
  <c r="AR55" i="3"/>
  <c r="AR54" i="3"/>
  <c r="AR53" i="3"/>
  <c r="AR52" i="3"/>
  <c r="AR50" i="3"/>
  <c r="AR48" i="3"/>
  <c r="AR45" i="3"/>
  <c r="AR44" i="3"/>
  <c r="AR43" i="3"/>
  <c r="G9" i="1"/>
  <c r="G10" i="1"/>
  <c r="G11" i="1"/>
  <c r="G12" i="1"/>
  <c r="G13" i="1"/>
  <c r="G14" i="1"/>
  <c r="G15" i="1"/>
  <c r="G16" i="1"/>
  <c r="G18" i="1"/>
  <c r="G19" i="1"/>
  <c r="G20" i="1"/>
  <c r="G21" i="1"/>
  <c r="G8" i="1"/>
  <c r="AX63" i="3"/>
  <c r="AW63" i="3"/>
  <c r="AX61" i="3"/>
  <c r="AW61" i="3"/>
  <c r="AX60" i="3"/>
  <c r="AW60" i="3"/>
  <c r="AX59" i="3"/>
  <c r="AW59" i="3"/>
  <c r="AX58" i="3"/>
  <c r="AW58" i="3"/>
  <c r="AX56" i="3"/>
  <c r="AW56" i="3"/>
  <c r="AX55" i="3"/>
  <c r="AW55" i="3"/>
  <c r="AX54" i="3"/>
  <c r="AW54" i="3"/>
  <c r="AX53" i="3"/>
  <c r="AW53" i="3"/>
  <c r="AX52" i="3"/>
  <c r="AW52" i="3"/>
  <c r="AX50" i="3"/>
  <c r="AW50" i="3"/>
  <c r="AX49" i="3"/>
  <c r="AW49" i="3"/>
  <c r="AX48" i="3"/>
  <c r="AW48" i="3"/>
  <c r="AX46" i="3"/>
  <c r="AW46" i="3"/>
  <c r="AX45" i="3"/>
  <c r="AW45" i="3"/>
  <c r="AX44" i="3"/>
  <c r="AW44" i="3"/>
  <c r="AX43" i="3"/>
  <c r="AW43" i="3"/>
  <c r="I17" i="5"/>
  <c r="H17" i="5"/>
  <c r="H15" i="5"/>
  <c r="I15" i="5"/>
  <c r="H16" i="5"/>
  <c r="I16" i="5"/>
  <c r="I14" i="5"/>
  <c r="H14" i="5"/>
  <c r="H5" i="5"/>
  <c r="I5" i="5"/>
  <c r="H6" i="5"/>
  <c r="I6" i="5"/>
  <c r="I4" i="5"/>
  <c r="H4" i="5"/>
  <c r="Q16" i="5"/>
  <c r="Q15" i="5"/>
  <c r="P16" i="5"/>
  <c r="P15" i="5"/>
  <c r="Q14" i="5"/>
  <c r="P14" i="5"/>
  <c r="Q4" i="5"/>
  <c r="P4" i="5"/>
  <c r="Q6" i="5"/>
  <c r="Q5" i="5"/>
  <c r="P6" i="5"/>
  <c r="P5" i="5"/>
  <c r="O16" i="5"/>
  <c r="O15" i="5"/>
  <c r="O14" i="5"/>
  <c r="O6" i="5"/>
  <c r="O5" i="5"/>
  <c r="O4" i="5"/>
  <c r="H7" i="5"/>
  <c r="I7" i="5"/>
  <c r="H8" i="5"/>
  <c r="I8" i="5"/>
  <c r="H9" i="5"/>
  <c r="I9" i="5"/>
  <c r="H10" i="5"/>
  <c r="I10" i="5"/>
  <c r="H11" i="5"/>
  <c r="I11" i="5"/>
  <c r="H12" i="5"/>
  <c r="I12" i="5"/>
  <c r="I13" i="5"/>
  <c r="H13" i="5"/>
  <c r="AI49" i="3"/>
  <c r="AI48" i="3"/>
  <c r="AI46" i="3"/>
  <c r="AI45" i="3"/>
  <c r="AI60" i="3"/>
  <c r="AH60" i="3"/>
  <c r="AL60" i="3" s="1"/>
  <c r="AH49" i="3"/>
  <c r="AL49" i="3" s="1"/>
  <c r="AH46" i="3"/>
  <c r="AL46" i="3" s="1"/>
  <c r="AH44" i="3"/>
  <c r="AL44" i="3" s="1"/>
  <c r="AI44" i="3"/>
  <c r="AH45" i="3"/>
  <c r="AH48" i="3"/>
  <c r="AL48" i="3" s="1"/>
  <c r="AH50" i="3"/>
  <c r="AL50" i="3" s="1"/>
  <c r="AI50" i="3"/>
  <c r="AH52" i="3"/>
  <c r="AL52" i="3" s="1"/>
  <c r="AI52" i="3"/>
  <c r="AH53" i="3"/>
  <c r="AL53" i="3" s="1"/>
  <c r="AI53" i="3"/>
  <c r="AH54" i="3"/>
  <c r="AL54" i="3" s="1"/>
  <c r="AI54" i="3"/>
  <c r="AH55" i="3"/>
  <c r="AL55" i="3" s="1"/>
  <c r="AI55" i="3"/>
  <c r="AH56" i="3"/>
  <c r="AL56" i="3" s="1"/>
  <c r="AI56" i="3"/>
  <c r="AH58" i="3"/>
  <c r="AL58" i="3" s="1"/>
  <c r="AI58" i="3"/>
  <c r="AH59" i="3"/>
  <c r="AL59" i="3" s="1"/>
  <c r="AI59" i="3"/>
  <c r="AH61" i="3"/>
  <c r="AL61" i="3" s="1"/>
  <c r="AI61" i="3"/>
  <c r="AH63" i="3"/>
  <c r="AL63" i="3" s="1"/>
  <c r="AI63" i="3"/>
  <c r="AI43" i="3"/>
  <c r="AH43" i="3"/>
  <c r="AL43" i="3" s="1"/>
  <c r="D7" i="6"/>
  <c r="D8" i="6"/>
  <c r="C8" i="6"/>
  <c r="C7" i="6"/>
  <c r="D14" i="7"/>
  <c r="D13" i="7"/>
  <c r="D9" i="7"/>
  <c r="D8" i="7"/>
  <c r="D7" i="7"/>
  <c r="AM53" i="3" l="1"/>
  <c r="AM46" i="3"/>
  <c r="AM49" i="3"/>
  <c r="AM58" i="3"/>
  <c r="AM52" i="3"/>
  <c r="AL45" i="3"/>
  <c r="AM45" i="3" s="1"/>
  <c r="AM61" i="3"/>
  <c r="AM63" i="3"/>
  <c r="AM56" i="3"/>
  <c r="AM43" i="3"/>
  <c r="AM55" i="3"/>
  <c r="AM44" i="3"/>
  <c r="AM60" i="3"/>
  <c r="AM50" i="3"/>
  <c r="AM54" i="3"/>
  <c r="AM48" i="3"/>
  <c r="AM59" i="3"/>
  <c r="AL65" i="3" l="1"/>
  <c r="D17" i="6" l="1"/>
  <c r="D19" i="6"/>
  <c r="AA42" i="5" l="1"/>
  <c r="AA40" i="5"/>
  <c r="C5" i="5" l="1"/>
  <c r="C6" i="5"/>
  <c r="C7" i="5"/>
  <c r="C8" i="5"/>
  <c r="C9" i="5"/>
  <c r="C10" i="5"/>
  <c r="C11" i="5"/>
  <c r="C12" i="5"/>
  <c r="C13" i="5"/>
  <c r="C14" i="5"/>
  <c r="C15" i="5"/>
  <c r="C16" i="5"/>
  <c r="C17" i="5"/>
  <c r="C4" i="5"/>
  <c r="D50" i="5"/>
  <c r="D49" i="5"/>
  <c r="V24" i="5"/>
  <c r="W24" i="5"/>
  <c r="V25" i="5"/>
  <c r="W25" i="5"/>
  <c r="V26" i="5"/>
  <c r="W26" i="5"/>
  <c r="V27" i="5"/>
  <c r="W27" i="5"/>
  <c r="V28" i="5"/>
  <c r="W28" i="5"/>
  <c r="V29" i="5"/>
  <c r="W29" i="5"/>
  <c r="V30" i="5"/>
  <c r="W30" i="5"/>
  <c r="V31" i="5"/>
  <c r="W31" i="5"/>
  <c r="V32" i="5"/>
  <c r="W32" i="5"/>
  <c r="V33" i="5"/>
  <c r="W33" i="5"/>
  <c r="V34" i="5"/>
  <c r="W34" i="5"/>
  <c r="V35" i="5"/>
  <c r="W35" i="5"/>
  <c r="V36" i="5"/>
  <c r="W36" i="5"/>
  <c r="V37" i="5"/>
  <c r="W37" i="5"/>
  <c r="V38" i="5"/>
  <c r="W38" i="5"/>
  <c r="V39" i="5"/>
  <c r="W39" i="5"/>
  <c r="W23" i="5"/>
  <c r="V23" i="5"/>
  <c r="P24" i="5"/>
  <c r="Q24" i="5" s="1"/>
  <c r="P25" i="5"/>
  <c r="Q25" i="5" s="1"/>
  <c r="P26" i="5"/>
  <c r="P27" i="5"/>
  <c r="P28" i="5"/>
  <c r="Q28" i="5" s="1"/>
  <c r="P29" i="5"/>
  <c r="Q29" i="5"/>
  <c r="P30" i="5"/>
  <c r="Q30" i="5" s="1"/>
  <c r="P31" i="5"/>
  <c r="P32" i="5"/>
  <c r="P33" i="5"/>
  <c r="Q33" i="5"/>
  <c r="P34" i="5"/>
  <c r="Q34" i="5"/>
  <c r="P35" i="5"/>
  <c r="Q35" i="5" s="1"/>
  <c r="P36" i="5"/>
  <c r="P37" i="5"/>
  <c r="P38" i="5"/>
  <c r="Q38" i="5"/>
  <c r="P39" i="5"/>
  <c r="Q39" i="5"/>
  <c r="P23" i="5"/>
  <c r="Q23" i="5" s="1"/>
  <c r="O42" i="5"/>
  <c r="Q31" i="5" s="1"/>
  <c r="I45" i="5"/>
  <c r="H45" i="5"/>
  <c r="F45" i="5"/>
  <c r="G45" i="5" s="1"/>
  <c r="F24" i="5"/>
  <c r="G24" i="5" s="1"/>
  <c r="F25" i="5"/>
  <c r="G25" i="5" s="1"/>
  <c r="F26" i="5"/>
  <c r="G26" i="5" s="1"/>
  <c r="F27" i="5"/>
  <c r="G27" i="5" s="1"/>
  <c r="F28" i="5"/>
  <c r="G28" i="5" s="1"/>
  <c r="F29" i="5"/>
  <c r="G29" i="5" s="1"/>
  <c r="F30" i="5"/>
  <c r="G30" i="5" s="1"/>
  <c r="F31" i="5"/>
  <c r="G31" i="5" s="1"/>
  <c r="F32" i="5"/>
  <c r="G32" i="5" s="1"/>
  <c r="F33" i="5"/>
  <c r="G33" i="5" s="1"/>
  <c r="F34" i="5"/>
  <c r="G34" i="5" s="1"/>
  <c r="F35" i="5"/>
  <c r="G35" i="5" s="1"/>
  <c r="F36" i="5"/>
  <c r="G36" i="5" s="1"/>
  <c r="F37" i="5"/>
  <c r="G37" i="5" s="1"/>
  <c r="F38" i="5"/>
  <c r="G38" i="5" s="1"/>
  <c r="F39" i="5"/>
  <c r="J39" i="5" s="1"/>
  <c r="F23" i="5"/>
  <c r="G23" i="5" s="1"/>
  <c r="C24" i="5"/>
  <c r="C25" i="5"/>
  <c r="C26" i="5"/>
  <c r="C27" i="5"/>
  <c r="C28" i="5"/>
  <c r="C29" i="5"/>
  <c r="C30" i="5"/>
  <c r="C31" i="5"/>
  <c r="C32" i="5"/>
  <c r="C33" i="5"/>
  <c r="C34" i="5"/>
  <c r="C35" i="5"/>
  <c r="C36" i="5"/>
  <c r="C37" i="5"/>
  <c r="C38" i="5"/>
  <c r="C39" i="5"/>
  <c r="C23" i="5"/>
  <c r="Q36" i="5" l="1"/>
  <c r="H36" i="5"/>
  <c r="I36" i="5" s="1"/>
  <c r="H32" i="5"/>
  <c r="I32" i="5" s="1"/>
  <c r="H28" i="5"/>
  <c r="I28" i="5" s="1"/>
  <c r="H39" i="5"/>
  <c r="I39" i="5" s="1"/>
  <c r="H35" i="5"/>
  <c r="I35" i="5" s="1"/>
  <c r="H31" i="5"/>
  <c r="I31" i="5" s="1"/>
  <c r="H27" i="5"/>
  <c r="I27" i="5" s="1"/>
  <c r="H38" i="5"/>
  <c r="I38" i="5" s="1"/>
  <c r="H34" i="5"/>
  <c r="I34" i="5" s="1"/>
  <c r="H30" i="5"/>
  <c r="I30" i="5" s="1"/>
  <c r="H26" i="5"/>
  <c r="I26" i="5" s="1"/>
  <c r="Q37" i="5"/>
  <c r="Q27" i="5"/>
  <c r="H37" i="5"/>
  <c r="I37" i="5" s="1"/>
  <c r="H33" i="5"/>
  <c r="I33" i="5" s="1"/>
  <c r="H29" i="5"/>
  <c r="I29" i="5" s="1"/>
  <c r="H25" i="5"/>
  <c r="I25" i="5" s="1"/>
  <c r="J33" i="5"/>
  <c r="Q26" i="5"/>
  <c r="H23" i="5"/>
  <c r="I23" i="5" s="1"/>
  <c r="H24" i="5"/>
  <c r="I24" i="5" s="1"/>
  <c r="Q32" i="5"/>
  <c r="J23" i="5"/>
  <c r="K33" i="5"/>
  <c r="K26" i="5"/>
  <c r="K32" i="5"/>
  <c r="K45" i="5"/>
  <c r="J26" i="5"/>
  <c r="K25" i="5"/>
  <c r="K34" i="5"/>
  <c r="J25" i="5"/>
  <c r="J34" i="5"/>
  <c r="K24" i="5"/>
  <c r="J38" i="5"/>
  <c r="J30" i="5"/>
  <c r="K38" i="5"/>
  <c r="J37" i="5"/>
  <c r="J29" i="5"/>
  <c r="K23" i="5"/>
  <c r="J36" i="5"/>
  <c r="J32" i="5"/>
  <c r="J28" i="5"/>
  <c r="J24" i="5"/>
  <c r="K39" i="5"/>
  <c r="K35" i="5"/>
  <c r="K31" i="5"/>
  <c r="K27" i="5"/>
  <c r="K30" i="5"/>
  <c r="K37" i="5"/>
  <c r="K29" i="5"/>
  <c r="K36" i="5"/>
  <c r="K28" i="5"/>
  <c r="J35" i="5"/>
  <c r="J31" i="5"/>
  <c r="J27" i="5"/>
  <c r="J45" i="5"/>
  <c r="G39" i="5"/>
  <c r="L39" i="5" l="1"/>
  <c r="R39" i="5" s="1"/>
  <c r="M32" i="5"/>
  <c r="L32" i="5"/>
  <c r="R32" i="5" s="1"/>
  <c r="M26" i="5"/>
  <c r="L26" i="5"/>
  <c r="R26" i="5" s="1"/>
  <c r="M36" i="5"/>
  <c r="L36" i="5"/>
  <c r="R36" i="5" s="1"/>
  <c r="M27" i="5"/>
  <c r="L27" i="5"/>
  <c r="R27" i="5" s="1"/>
  <c r="M33" i="5"/>
  <c r="L33" i="5"/>
  <c r="R33" i="5" s="1"/>
  <c r="M31" i="5"/>
  <c r="L31" i="5"/>
  <c r="R31" i="5" s="1"/>
  <c r="M25" i="5"/>
  <c r="L25" i="5"/>
  <c r="R25" i="5" s="1"/>
  <c r="M35" i="5"/>
  <c r="L35" i="5"/>
  <c r="R35" i="5" s="1"/>
  <c r="M28" i="5"/>
  <c r="L28" i="5"/>
  <c r="R28" i="5" s="1"/>
  <c r="M29" i="5"/>
  <c r="L29" i="5"/>
  <c r="R29" i="5" s="1"/>
  <c r="M34" i="5"/>
  <c r="L34" i="5"/>
  <c r="R34" i="5" s="1"/>
  <c r="M37" i="5"/>
  <c r="L37" i="5"/>
  <c r="R37" i="5" s="1"/>
  <c r="M30" i="5"/>
  <c r="L30" i="5"/>
  <c r="R30" i="5" s="1"/>
  <c r="M23" i="5"/>
  <c r="L23" i="5"/>
  <c r="R23" i="5" s="1"/>
  <c r="M38" i="5"/>
  <c r="L38" i="5"/>
  <c r="R38" i="5" s="1"/>
  <c r="M24" i="5"/>
  <c r="L24" i="5"/>
  <c r="R24" i="5" s="1"/>
  <c r="M39" i="5"/>
  <c r="S28" i="5" l="1"/>
  <c r="X28" i="5"/>
  <c r="Y28" i="5" s="1"/>
  <c r="S24" i="5"/>
  <c r="X24" i="5"/>
  <c r="Y24" i="5" s="1"/>
  <c r="X37" i="5"/>
  <c r="S37" i="5"/>
  <c r="S35" i="5"/>
  <c r="X35" i="5"/>
  <c r="S27" i="5"/>
  <c r="X27" i="5"/>
  <c r="Y27" i="5" s="1"/>
  <c r="X39" i="5"/>
  <c r="S39" i="5"/>
  <c r="X29" i="5"/>
  <c r="S29" i="5"/>
  <c r="S33" i="5"/>
  <c r="X33" i="5"/>
  <c r="S23" i="5"/>
  <c r="X23" i="5"/>
  <c r="Y23" i="5" s="1"/>
  <c r="S31" i="5"/>
  <c r="X31" i="5"/>
  <c r="Y31" i="5" s="1"/>
  <c r="S26" i="5"/>
  <c r="X26" i="5"/>
  <c r="X30" i="5"/>
  <c r="S30" i="5"/>
  <c r="S32" i="5"/>
  <c r="X32" i="5"/>
  <c r="Y32" i="5" s="1"/>
  <c r="X38" i="5"/>
  <c r="S38" i="5"/>
  <c r="X34" i="5"/>
  <c r="S34" i="5"/>
  <c r="X25" i="5"/>
  <c r="S25" i="5"/>
  <c r="S36" i="5"/>
  <c r="X36" i="5"/>
  <c r="Y30" i="5" l="1"/>
  <c r="Y26" i="5"/>
  <c r="AA27" i="5"/>
  <c r="Y36" i="5"/>
  <c r="AA37" i="5"/>
  <c r="Y33" i="5"/>
  <c r="Y35" i="5"/>
  <c r="Y29" i="5"/>
  <c r="Y25" i="5"/>
  <c r="Y34" i="5"/>
  <c r="Y37" i="5"/>
  <c r="Y38" i="5"/>
  <c r="Y39" i="5"/>
  <c r="G36" i="3" l="1"/>
  <c r="H36" i="3"/>
  <c r="H35" i="3"/>
  <c r="G35" i="3"/>
  <c r="G10" i="3"/>
  <c r="H10" i="3"/>
  <c r="G11" i="3"/>
  <c r="H11" i="3"/>
  <c r="G12" i="3"/>
  <c r="H12" i="3"/>
  <c r="G13" i="3"/>
  <c r="H13" i="3"/>
  <c r="G14" i="3"/>
  <c r="H14" i="3"/>
  <c r="G15" i="3"/>
  <c r="H15" i="3"/>
  <c r="G16" i="3"/>
  <c r="H16" i="3"/>
  <c r="G17" i="3"/>
  <c r="H17" i="3"/>
  <c r="G18" i="3"/>
  <c r="H18" i="3"/>
  <c r="G19" i="3"/>
  <c r="H19" i="3"/>
  <c r="G20" i="3"/>
  <c r="H20" i="3"/>
  <c r="G21" i="3"/>
  <c r="H21" i="3"/>
  <c r="G22" i="3"/>
  <c r="H22" i="3"/>
  <c r="G23" i="3"/>
  <c r="H23" i="3"/>
  <c r="G24" i="3"/>
  <c r="H24" i="3"/>
  <c r="G25" i="3"/>
  <c r="H25" i="3"/>
  <c r="G26" i="3"/>
  <c r="H26" i="3"/>
  <c r="G27" i="3"/>
  <c r="H27" i="3"/>
  <c r="G28" i="3"/>
  <c r="H28" i="3"/>
  <c r="G29" i="3"/>
  <c r="H29" i="3"/>
  <c r="G30" i="3"/>
  <c r="H30" i="3"/>
  <c r="G31" i="3"/>
  <c r="H31" i="3"/>
  <c r="G32" i="3"/>
  <c r="H32" i="3"/>
  <c r="G33" i="3"/>
  <c r="H33" i="3"/>
  <c r="H9" i="3"/>
  <c r="G9" i="3"/>
  <c r="E36" i="3"/>
  <c r="F36" i="3"/>
  <c r="F35" i="3"/>
  <c r="E35" i="3"/>
  <c r="E32" i="3"/>
  <c r="F32" i="3"/>
  <c r="E33" i="3"/>
  <c r="F33" i="3"/>
  <c r="E10" i="3"/>
  <c r="F10" i="3"/>
  <c r="E11" i="3"/>
  <c r="F11" i="3"/>
  <c r="E12" i="3"/>
  <c r="F12" i="3"/>
  <c r="E13" i="3"/>
  <c r="F13" i="3"/>
  <c r="E14" i="3"/>
  <c r="F14" i="3"/>
  <c r="E15" i="3"/>
  <c r="F15" i="3"/>
  <c r="E16" i="3"/>
  <c r="F16"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F9" i="3"/>
  <c r="E9" i="3"/>
  <c r="R35" i="4"/>
  <c r="R36" i="4"/>
  <c r="R37" i="4"/>
  <c r="R38" i="4"/>
  <c r="R39" i="4"/>
  <c r="R40" i="4"/>
  <c r="R41" i="4"/>
  <c r="R42" i="4"/>
  <c r="R43" i="4"/>
  <c r="R44" i="4"/>
  <c r="R45" i="4"/>
  <c r="R46" i="4"/>
  <c r="R47" i="4"/>
  <c r="R48" i="4"/>
  <c r="R49" i="4"/>
  <c r="R50" i="4"/>
  <c r="R51" i="4"/>
  <c r="R52" i="4"/>
  <c r="R53" i="4"/>
  <c r="R54" i="4"/>
  <c r="R55" i="4"/>
  <c r="R56" i="4"/>
  <c r="R57" i="4"/>
  <c r="R58" i="4"/>
  <c r="R59" i="4"/>
  <c r="R60" i="4"/>
  <c r="R34" i="4"/>
  <c r="P35" i="4"/>
  <c r="Q35" i="4"/>
  <c r="P36" i="4"/>
  <c r="Q36" i="4"/>
  <c r="P37" i="4"/>
  <c r="Q37" i="4"/>
  <c r="P38" i="4"/>
  <c r="Q38" i="4"/>
  <c r="P39" i="4"/>
  <c r="Q39" i="4"/>
  <c r="P40" i="4"/>
  <c r="Q40" i="4"/>
  <c r="P41" i="4"/>
  <c r="Q41" i="4"/>
  <c r="P42" i="4"/>
  <c r="Q42" i="4"/>
  <c r="P43" i="4"/>
  <c r="Q43" i="4"/>
  <c r="P44" i="4"/>
  <c r="Q44" i="4"/>
  <c r="P45" i="4"/>
  <c r="Q45" i="4"/>
  <c r="P46" i="4"/>
  <c r="Q46" i="4"/>
  <c r="P47" i="4"/>
  <c r="Q47" i="4"/>
  <c r="P48" i="4"/>
  <c r="Q48" i="4"/>
  <c r="P49" i="4"/>
  <c r="Q49" i="4"/>
  <c r="P50" i="4"/>
  <c r="Q50" i="4"/>
  <c r="P51" i="4"/>
  <c r="Q51" i="4"/>
  <c r="P52" i="4"/>
  <c r="Q52" i="4"/>
  <c r="P53" i="4"/>
  <c r="Q53" i="4"/>
  <c r="P54" i="4"/>
  <c r="Q54" i="4"/>
  <c r="P55" i="4"/>
  <c r="Q55" i="4"/>
  <c r="P56" i="4"/>
  <c r="Q56" i="4"/>
  <c r="P57" i="4"/>
  <c r="Q57" i="4"/>
  <c r="P58" i="4"/>
  <c r="Q58" i="4"/>
  <c r="P59" i="4"/>
  <c r="Q59" i="4"/>
  <c r="P60" i="4"/>
  <c r="Q60" i="4"/>
  <c r="Q34" i="4"/>
  <c r="P34" i="4"/>
  <c r="M42" i="4"/>
  <c r="K36" i="4"/>
  <c r="L36" i="4" s="1"/>
  <c r="N36" i="4" s="1"/>
  <c r="K38" i="4"/>
  <c r="L38" i="4" s="1"/>
  <c r="N38" i="4" s="1"/>
  <c r="K39" i="4"/>
  <c r="L39" i="4" s="1"/>
  <c r="N39" i="4" s="1"/>
  <c r="K42" i="4"/>
  <c r="K44" i="4"/>
  <c r="M44" i="4" s="1"/>
  <c r="L44" i="4"/>
  <c r="N44" i="4" s="1"/>
  <c r="K46" i="4"/>
  <c r="L46" i="4" s="1"/>
  <c r="N46" i="4" s="1"/>
  <c r="K52" i="4"/>
  <c r="L52" i="4" s="1"/>
  <c r="N52" i="4" s="1"/>
  <c r="K54" i="4"/>
  <c r="L54" i="4" s="1"/>
  <c r="N54" i="4" s="1"/>
  <c r="K55" i="4"/>
  <c r="L55" i="4" s="1"/>
  <c r="N55" i="4" s="1"/>
  <c r="K58" i="4"/>
  <c r="M58" i="4" s="1"/>
  <c r="K60" i="4"/>
  <c r="M60" i="4" s="1"/>
  <c r="L60" i="4"/>
  <c r="N60" i="4" s="1"/>
  <c r="I35" i="4"/>
  <c r="K35" i="4" s="1"/>
  <c r="J35" i="4"/>
  <c r="I36" i="4"/>
  <c r="J36" i="4"/>
  <c r="I37" i="4"/>
  <c r="K37" i="4" s="1"/>
  <c r="J37" i="4"/>
  <c r="I38" i="4"/>
  <c r="J38" i="4"/>
  <c r="I39" i="4"/>
  <c r="J39" i="4"/>
  <c r="I40" i="4"/>
  <c r="K40" i="4" s="1"/>
  <c r="J40" i="4"/>
  <c r="I41" i="4"/>
  <c r="K41" i="4" s="1"/>
  <c r="J41" i="4"/>
  <c r="I42" i="4"/>
  <c r="J42" i="4"/>
  <c r="I43" i="4"/>
  <c r="K43" i="4" s="1"/>
  <c r="J43" i="4"/>
  <c r="I44" i="4"/>
  <c r="J44" i="4"/>
  <c r="I45" i="4"/>
  <c r="K45" i="4" s="1"/>
  <c r="J45" i="4"/>
  <c r="I46" i="4"/>
  <c r="J46" i="4"/>
  <c r="I47" i="4"/>
  <c r="K47" i="4" s="1"/>
  <c r="J47" i="4"/>
  <c r="I48" i="4"/>
  <c r="K48" i="4" s="1"/>
  <c r="J48" i="4"/>
  <c r="I49" i="4"/>
  <c r="K49" i="4" s="1"/>
  <c r="J49" i="4"/>
  <c r="I50" i="4"/>
  <c r="K50" i="4" s="1"/>
  <c r="J50" i="4"/>
  <c r="I51" i="4"/>
  <c r="K51" i="4" s="1"/>
  <c r="J51" i="4"/>
  <c r="I52" i="4"/>
  <c r="J52" i="4"/>
  <c r="I53" i="4"/>
  <c r="K53" i="4" s="1"/>
  <c r="J53" i="4"/>
  <c r="I54" i="4"/>
  <c r="J54" i="4"/>
  <c r="I55" i="4"/>
  <c r="J55" i="4"/>
  <c r="I56" i="4"/>
  <c r="K56" i="4" s="1"/>
  <c r="J56" i="4"/>
  <c r="I57" i="4"/>
  <c r="K57" i="4" s="1"/>
  <c r="J57" i="4"/>
  <c r="I58" i="4"/>
  <c r="J58" i="4"/>
  <c r="I59" i="4"/>
  <c r="K59" i="4" s="1"/>
  <c r="J59" i="4"/>
  <c r="I60" i="4"/>
  <c r="J60" i="4"/>
  <c r="J34" i="4"/>
  <c r="I34" i="4"/>
  <c r="K34" i="4" s="1"/>
  <c r="I29" i="4"/>
  <c r="J29" i="4" s="1"/>
  <c r="L47" i="4" l="1"/>
  <c r="N47" i="4" s="1"/>
  <c r="M47" i="4"/>
  <c r="L59" i="4"/>
  <c r="N59" i="4" s="1"/>
  <c r="M59" i="4"/>
  <c r="L51" i="4"/>
  <c r="N51" i="4" s="1"/>
  <c r="M51" i="4"/>
  <c r="L43" i="4"/>
  <c r="N43" i="4" s="1"/>
  <c r="M43" i="4"/>
  <c r="L35" i="4"/>
  <c r="N35" i="4" s="1"/>
  <c r="M35" i="4"/>
  <c r="L50" i="4"/>
  <c r="N50" i="4" s="1"/>
  <c r="M50" i="4"/>
  <c r="M34" i="4"/>
  <c r="L34" i="4"/>
  <c r="N34" i="4" s="1"/>
  <c r="L57" i="4"/>
  <c r="N57" i="4" s="1"/>
  <c r="M57" i="4"/>
  <c r="L53" i="4"/>
  <c r="N53" i="4" s="1"/>
  <c r="M53" i="4"/>
  <c r="M49" i="4"/>
  <c r="L49" i="4"/>
  <c r="N49" i="4" s="1"/>
  <c r="M45" i="4"/>
  <c r="L45" i="4"/>
  <c r="N45" i="4" s="1"/>
  <c r="L41" i="4"/>
  <c r="N41" i="4" s="1"/>
  <c r="M41" i="4"/>
  <c r="L37" i="4"/>
  <c r="N37" i="4" s="1"/>
  <c r="M37" i="4"/>
  <c r="M56" i="4"/>
  <c r="L56" i="4"/>
  <c r="N56" i="4" s="1"/>
  <c r="M48" i="4"/>
  <c r="L48" i="4"/>
  <c r="N48" i="4" s="1"/>
  <c r="M40" i="4"/>
  <c r="L40" i="4"/>
  <c r="N40" i="4" s="1"/>
  <c r="M54" i="4"/>
  <c r="M46" i="4"/>
  <c r="M38" i="4"/>
  <c r="L58" i="4"/>
  <c r="N58" i="4" s="1"/>
  <c r="M52" i="4"/>
  <c r="M36" i="4"/>
  <c r="L42" i="4"/>
  <c r="N42" i="4" s="1"/>
  <c r="M55" i="4"/>
  <c r="M39" i="4"/>
  <c r="D60" i="4"/>
  <c r="E60" i="4" s="1"/>
  <c r="D59" i="4"/>
  <c r="E59" i="4" s="1"/>
  <c r="D58" i="4"/>
  <c r="D57" i="4"/>
  <c r="D56" i="4"/>
  <c r="D55" i="4"/>
  <c r="E55" i="4" s="1"/>
  <c r="D54" i="4"/>
  <c r="D53" i="4"/>
  <c r="D52" i="4"/>
  <c r="D51" i="4"/>
  <c r="E51" i="4" s="1"/>
  <c r="D50" i="4"/>
  <c r="E50" i="4" s="1"/>
  <c r="D49" i="4"/>
  <c r="D48" i="4"/>
  <c r="D47" i="4"/>
  <c r="D46" i="4"/>
  <c r="D45" i="4"/>
  <c r="E45" i="4" s="1"/>
  <c r="D44" i="4"/>
  <c r="E44" i="4" s="1"/>
  <c r="D43" i="4"/>
  <c r="E43" i="4" s="1"/>
  <c r="D42" i="4"/>
  <c r="E42" i="4" s="1"/>
  <c r="D41" i="4"/>
  <c r="D40" i="4"/>
  <c r="E40" i="4" s="1"/>
  <c r="D39" i="4"/>
  <c r="D38" i="4"/>
  <c r="D37" i="4"/>
  <c r="E37" i="4" s="1"/>
  <c r="D36" i="4"/>
  <c r="E36" i="4" s="1"/>
  <c r="D35" i="4"/>
  <c r="E35" i="4" s="1"/>
  <c r="D34" i="4"/>
  <c r="B29" i="4"/>
  <c r="F48" i="4" l="1"/>
  <c r="F56" i="4"/>
  <c r="F53" i="4"/>
  <c r="F45" i="4"/>
  <c r="F37" i="4"/>
  <c r="C29" i="4"/>
  <c r="E48" i="4"/>
  <c r="F58" i="4"/>
  <c r="F39" i="4"/>
  <c r="G36" i="4"/>
  <c r="F40" i="4"/>
  <c r="F41" i="4"/>
  <c r="F46" i="4"/>
  <c r="F51" i="4"/>
  <c r="E56" i="4"/>
  <c r="G42" i="4"/>
  <c r="F47" i="4"/>
  <c r="F52" i="4"/>
  <c r="F57" i="4"/>
  <c r="F38" i="4"/>
  <c r="F43" i="4"/>
  <c r="E53" i="4"/>
  <c r="F34" i="4"/>
  <c r="G44" i="4"/>
  <c r="F49" i="4"/>
  <c r="F54" i="4"/>
  <c r="F59" i="4"/>
  <c r="F35" i="4"/>
  <c r="G55" i="4"/>
  <c r="G40" i="4"/>
  <c r="E58" i="4"/>
  <c r="F50" i="4"/>
  <c r="E52" i="4"/>
  <c r="F36" i="4"/>
  <c r="E41" i="4"/>
  <c r="F44" i="4"/>
  <c r="E49" i="4"/>
  <c r="G49" i="4" s="1"/>
  <c r="E57" i="4"/>
  <c r="F60" i="4"/>
  <c r="E34" i="4"/>
  <c r="G34" i="4" s="1"/>
  <c r="F42" i="4"/>
  <c r="E47" i="4"/>
  <c r="F55" i="4"/>
  <c r="E38" i="4"/>
  <c r="E46" i="4"/>
  <c r="G46" i="4" s="1"/>
  <c r="E54" i="4"/>
  <c r="E39" i="4"/>
  <c r="G52" i="4" l="1"/>
  <c r="G56" i="4"/>
  <c r="G50" i="4"/>
  <c r="G39" i="4"/>
  <c r="G58" i="4"/>
  <c r="G53" i="4"/>
  <c r="G54" i="4"/>
  <c r="G57" i="4"/>
  <c r="G48" i="4"/>
  <c r="G38" i="4"/>
  <c r="G41" i="4"/>
  <c r="G35" i="4"/>
  <c r="G43" i="4"/>
  <c r="G51" i="4"/>
  <c r="G37" i="4"/>
  <c r="G47" i="4"/>
  <c r="G60" i="4"/>
  <c r="G59" i="4"/>
  <c r="G45" i="4"/>
  <c r="C64" i="3" l="1"/>
  <c r="C65" i="3"/>
  <c r="S32" i="3"/>
  <c r="S33" i="3"/>
  <c r="Q32" i="3"/>
  <c r="Q33" i="3"/>
  <c r="N32" i="3"/>
  <c r="N33" i="3"/>
  <c r="L10" i="3"/>
  <c r="L11" i="3"/>
  <c r="L12" i="3"/>
  <c r="L13" i="3"/>
  <c r="L14" i="3"/>
  <c r="L15" i="3"/>
  <c r="L16" i="3"/>
  <c r="L17" i="3"/>
  <c r="L18" i="3"/>
  <c r="L19" i="3"/>
  <c r="L20" i="3"/>
  <c r="L21" i="3"/>
  <c r="L22" i="3"/>
  <c r="L23" i="3"/>
  <c r="L24" i="3"/>
  <c r="L25" i="3"/>
  <c r="L26" i="3"/>
  <c r="L27" i="3"/>
  <c r="L28" i="3"/>
  <c r="L29" i="3"/>
  <c r="L30" i="3"/>
  <c r="L31" i="3"/>
  <c r="L32" i="3"/>
  <c r="D64" i="3" s="1"/>
  <c r="L33" i="3"/>
  <c r="D65" i="3" s="1"/>
  <c r="A32" i="3"/>
  <c r="A64" i="3" s="1"/>
  <c r="A33" i="3"/>
  <c r="A65" i="3" s="1"/>
  <c r="D54" i="2"/>
  <c r="E54" i="2" s="1"/>
  <c r="D55" i="2"/>
  <c r="E55" i="2" s="1"/>
  <c r="G55" i="2" s="1"/>
  <c r="F55" i="2"/>
  <c r="A10" i="3"/>
  <c r="A42" i="3" s="1"/>
  <c r="A11" i="3"/>
  <c r="A43" i="3" s="1"/>
  <c r="A12" i="3"/>
  <c r="A44" i="3" s="1"/>
  <c r="A13" i="3"/>
  <c r="A45" i="3" s="1"/>
  <c r="A14" i="3"/>
  <c r="A46" i="3" s="1"/>
  <c r="A15" i="3"/>
  <c r="A47" i="3" s="1"/>
  <c r="A16" i="3"/>
  <c r="A48" i="3" s="1"/>
  <c r="A17" i="3"/>
  <c r="A49" i="3" s="1"/>
  <c r="A18" i="3"/>
  <c r="A50" i="3" s="1"/>
  <c r="A19" i="3"/>
  <c r="A51" i="3" s="1"/>
  <c r="A20" i="3"/>
  <c r="A52" i="3" s="1"/>
  <c r="A21" i="3"/>
  <c r="A53" i="3" s="1"/>
  <c r="A22" i="3"/>
  <c r="A54" i="3" s="1"/>
  <c r="A23" i="3"/>
  <c r="A55" i="3" s="1"/>
  <c r="A24" i="3"/>
  <c r="A56" i="3" s="1"/>
  <c r="A25" i="3"/>
  <c r="A57" i="3" s="1"/>
  <c r="A26" i="3"/>
  <c r="A58" i="3" s="1"/>
  <c r="A27" i="3"/>
  <c r="A59" i="3" s="1"/>
  <c r="A28" i="3"/>
  <c r="A60" i="3" s="1"/>
  <c r="A29" i="3"/>
  <c r="A61" i="3" s="1"/>
  <c r="A30" i="3"/>
  <c r="A62" i="3" s="1"/>
  <c r="A31" i="3"/>
  <c r="A63" i="3" s="1"/>
  <c r="A35" i="3"/>
  <c r="A36" i="3"/>
  <c r="A9" i="3"/>
  <c r="A41" i="3" s="1"/>
  <c r="L9" i="3"/>
  <c r="N9" i="3"/>
  <c r="Q9" i="3"/>
  <c r="S9" i="3"/>
  <c r="N10" i="3"/>
  <c r="Q10" i="3"/>
  <c r="S10" i="3"/>
  <c r="N11" i="3"/>
  <c r="Q11" i="3"/>
  <c r="S11" i="3"/>
  <c r="N12" i="3"/>
  <c r="Q12" i="3"/>
  <c r="S12" i="3"/>
  <c r="N13" i="3"/>
  <c r="Q13" i="3"/>
  <c r="S13" i="3"/>
  <c r="N14" i="3"/>
  <c r="Q14" i="3"/>
  <c r="S14" i="3"/>
  <c r="N15" i="3"/>
  <c r="Q15" i="3"/>
  <c r="S15" i="3"/>
  <c r="N16" i="3"/>
  <c r="Q16" i="3"/>
  <c r="S16" i="3"/>
  <c r="N17" i="3"/>
  <c r="Q17" i="3"/>
  <c r="S17" i="3"/>
  <c r="N18" i="3"/>
  <c r="Q18" i="3"/>
  <c r="S18" i="3"/>
  <c r="N19" i="3"/>
  <c r="Q19" i="3"/>
  <c r="S19" i="3"/>
  <c r="N20" i="3"/>
  <c r="Q20" i="3"/>
  <c r="S20" i="3"/>
  <c r="N21" i="3"/>
  <c r="Q21" i="3"/>
  <c r="S21" i="3"/>
  <c r="N22" i="3"/>
  <c r="Q22" i="3"/>
  <c r="S22" i="3"/>
  <c r="N23" i="3"/>
  <c r="Q23" i="3"/>
  <c r="S23" i="3"/>
  <c r="N24" i="3"/>
  <c r="Q24" i="3"/>
  <c r="S24" i="3"/>
  <c r="N25" i="3"/>
  <c r="Q25" i="3"/>
  <c r="S25" i="3"/>
  <c r="N26" i="3"/>
  <c r="Q26" i="3"/>
  <c r="S26" i="3"/>
  <c r="N27" i="3"/>
  <c r="Q27" i="3"/>
  <c r="S27" i="3"/>
  <c r="N28" i="3"/>
  <c r="Q28" i="3"/>
  <c r="S28" i="3"/>
  <c r="N29" i="3"/>
  <c r="Q29" i="3"/>
  <c r="S29" i="3"/>
  <c r="N30" i="3"/>
  <c r="Q30" i="3"/>
  <c r="S30" i="3"/>
  <c r="N31" i="3"/>
  <c r="Q31" i="3"/>
  <c r="S31" i="3"/>
  <c r="C41" i="3"/>
  <c r="C42" i="3"/>
  <c r="C43" i="3"/>
  <c r="C44" i="3"/>
  <c r="C45" i="3"/>
  <c r="C46" i="3"/>
  <c r="C47" i="3"/>
  <c r="C48" i="3"/>
  <c r="C49" i="3"/>
  <c r="C50" i="3"/>
  <c r="C51" i="3"/>
  <c r="C52" i="3"/>
  <c r="D52" i="3" s="1"/>
  <c r="C53" i="3"/>
  <c r="C54" i="3"/>
  <c r="C55" i="3"/>
  <c r="C56" i="3"/>
  <c r="C57" i="3"/>
  <c r="C58" i="3"/>
  <c r="C59" i="3"/>
  <c r="C60" i="3"/>
  <c r="C61" i="3"/>
  <c r="C62" i="3"/>
  <c r="C63" i="3"/>
  <c r="B26" i="2"/>
  <c r="C26" i="2" s="1"/>
  <c r="D31" i="2"/>
  <c r="E31" i="2" s="1"/>
  <c r="D32" i="2"/>
  <c r="E32" i="2" s="1"/>
  <c r="D33" i="2"/>
  <c r="E33" i="2" s="1"/>
  <c r="D34" i="2"/>
  <c r="E34" i="2" s="1"/>
  <c r="D35" i="2"/>
  <c r="D36" i="2"/>
  <c r="E36" i="2" s="1"/>
  <c r="D37" i="2"/>
  <c r="E37" i="2" s="1"/>
  <c r="D38" i="2"/>
  <c r="F38" i="2" s="1"/>
  <c r="D39" i="2"/>
  <c r="E39" i="2" s="1"/>
  <c r="D40" i="2"/>
  <c r="E40" i="2" s="1"/>
  <c r="D41" i="2"/>
  <c r="E41" i="2" s="1"/>
  <c r="D42" i="2"/>
  <c r="E42" i="2" s="1"/>
  <c r="D43" i="2"/>
  <c r="D44" i="2"/>
  <c r="E44" i="2" s="1"/>
  <c r="D45" i="2"/>
  <c r="E45" i="2" s="1"/>
  <c r="D46" i="2"/>
  <c r="E46" i="2" s="1"/>
  <c r="D47" i="2"/>
  <c r="E47" i="2" s="1"/>
  <c r="D48" i="2"/>
  <c r="E48" i="2" s="1"/>
  <c r="D49" i="2"/>
  <c r="E49" i="2"/>
  <c r="D50" i="2"/>
  <c r="E50" i="2" s="1"/>
  <c r="D51" i="2"/>
  <c r="D52" i="2"/>
  <c r="E52" i="2" s="1"/>
  <c r="D53" i="2"/>
  <c r="F53" i="2" s="1"/>
  <c r="D56" i="2"/>
  <c r="F56" i="2" s="1"/>
  <c r="D57" i="2"/>
  <c r="U33" i="3" l="1"/>
  <c r="V33" i="3" s="1"/>
  <c r="X33" i="3" s="1"/>
  <c r="U12" i="3"/>
  <c r="U32" i="3"/>
  <c r="V32" i="3" s="1"/>
  <c r="X32" i="3" s="1"/>
  <c r="D48" i="3"/>
  <c r="D55" i="3"/>
  <c r="H55" i="2"/>
  <c r="U18" i="3"/>
  <c r="V18" i="3" s="1"/>
  <c r="X18" i="3" s="1"/>
  <c r="U20" i="3"/>
  <c r="V20" i="3" s="1"/>
  <c r="X20" i="3" s="1"/>
  <c r="G54" i="2"/>
  <c r="U14" i="3"/>
  <c r="V14" i="3" s="1"/>
  <c r="X14" i="3" s="1"/>
  <c r="F49" i="2"/>
  <c r="G32" i="2"/>
  <c r="E37" i="3"/>
  <c r="T65" i="3"/>
  <c r="W33" i="3"/>
  <c r="U16" i="3"/>
  <c r="W16" i="3" s="1"/>
  <c r="E48" i="3" s="1"/>
  <c r="G48" i="3" s="1"/>
  <c r="J48" i="3" s="1"/>
  <c r="L48" i="3" s="1"/>
  <c r="D56" i="3"/>
  <c r="D63" i="3"/>
  <c r="D43" i="3"/>
  <c r="U31" i="3"/>
  <c r="U23" i="3"/>
  <c r="T55" i="3" s="1"/>
  <c r="F37" i="3"/>
  <c r="U9" i="3"/>
  <c r="T41" i="3" s="1"/>
  <c r="D53" i="3"/>
  <c r="D49" i="3"/>
  <c r="D45" i="3"/>
  <c r="U24" i="3"/>
  <c r="W24" i="3" s="1"/>
  <c r="N56" i="3" s="1"/>
  <c r="U22" i="3"/>
  <c r="T54" i="3" s="1"/>
  <c r="D44" i="3"/>
  <c r="U21" i="3"/>
  <c r="W21" i="3" s="1"/>
  <c r="E53" i="3" s="1"/>
  <c r="G53" i="3" s="1"/>
  <c r="J53" i="3" s="1"/>
  <c r="L53" i="3" s="1"/>
  <c r="D42" i="3"/>
  <c r="D60" i="3"/>
  <c r="F54" i="2"/>
  <c r="E38" i="2"/>
  <c r="W12" i="3"/>
  <c r="E44" i="3" s="1"/>
  <c r="I44" i="3" s="1"/>
  <c r="V12" i="3"/>
  <c r="X12" i="3" s="1"/>
  <c r="D54" i="3"/>
  <c r="U25" i="3"/>
  <c r="D41" i="3"/>
  <c r="D50" i="3"/>
  <c r="U17" i="3"/>
  <c r="V17" i="3" s="1"/>
  <c r="X17" i="3" s="1"/>
  <c r="D59" i="3"/>
  <c r="U29" i="3"/>
  <c r="T61" i="3" s="1"/>
  <c r="U28" i="3"/>
  <c r="W28" i="3" s="1"/>
  <c r="U13" i="3"/>
  <c r="T45" i="3" s="1"/>
  <c r="U27" i="3"/>
  <c r="V27" i="3" s="1"/>
  <c r="X27" i="3" s="1"/>
  <c r="D46" i="3"/>
  <c r="U10" i="3"/>
  <c r="V10" i="3" s="1"/>
  <c r="X10" i="3" s="1"/>
  <c r="D51" i="3"/>
  <c r="D47" i="3"/>
  <c r="D62" i="3"/>
  <c r="D57" i="3"/>
  <c r="D61" i="3"/>
  <c r="U15" i="3"/>
  <c r="U19" i="3"/>
  <c r="T44" i="3"/>
  <c r="U26" i="3"/>
  <c r="D58" i="3"/>
  <c r="U30" i="3"/>
  <c r="U11" i="3"/>
  <c r="F57" i="2"/>
  <c r="H37" i="3" s="1"/>
  <c r="E56" i="2"/>
  <c r="F42" i="2"/>
  <c r="F41" i="2"/>
  <c r="F36" i="2"/>
  <c r="E53" i="2"/>
  <c r="G53" i="2" s="1"/>
  <c r="E57" i="2"/>
  <c r="F50" i="2"/>
  <c r="F46" i="2"/>
  <c r="G33" i="2"/>
  <c r="G34" i="2"/>
  <c r="G42" i="2"/>
  <c r="G49" i="2"/>
  <c r="G38" i="2"/>
  <c r="G46" i="2"/>
  <c r="G50" i="2"/>
  <c r="G40" i="2"/>
  <c r="G41" i="2"/>
  <c r="G56" i="2"/>
  <c r="F39" i="2"/>
  <c r="F31" i="2"/>
  <c r="F47" i="2"/>
  <c r="F44" i="2"/>
  <c r="F35" i="2"/>
  <c r="F51" i="2"/>
  <c r="F43" i="2"/>
  <c r="F34" i="2"/>
  <c r="H42" i="2"/>
  <c r="F52" i="2"/>
  <c r="F45" i="2"/>
  <c r="F33" i="2"/>
  <c r="G48" i="2"/>
  <c r="F37" i="2"/>
  <c r="G45" i="2"/>
  <c r="G31" i="2"/>
  <c r="G36" i="2"/>
  <c r="G37" i="2"/>
  <c r="G39" i="2"/>
  <c r="G47" i="2"/>
  <c r="G57" i="2"/>
  <c r="G44" i="2"/>
  <c r="G52" i="2"/>
  <c r="E51" i="2"/>
  <c r="G51" i="2" s="1"/>
  <c r="E43" i="2"/>
  <c r="G43" i="2" s="1"/>
  <c r="E35" i="2"/>
  <c r="G35" i="2" s="1"/>
  <c r="F32" i="2"/>
  <c r="F48" i="2"/>
  <c r="F40" i="2"/>
  <c r="V13" i="3" l="1"/>
  <c r="X13" i="3" s="1"/>
  <c r="W14" i="3"/>
  <c r="V24" i="3"/>
  <c r="X24" i="3" s="1"/>
  <c r="W32" i="3"/>
  <c r="N64" i="3" s="1"/>
  <c r="O64" i="3" s="1"/>
  <c r="T64" i="3"/>
  <c r="U64" i="3" s="1"/>
  <c r="T46" i="3"/>
  <c r="U46" i="3" s="1"/>
  <c r="T48" i="3"/>
  <c r="W20" i="3"/>
  <c r="N52" i="3" s="1"/>
  <c r="O52" i="3" s="1"/>
  <c r="W18" i="3"/>
  <c r="B50" i="3" s="1"/>
  <c r="V16" i="3"/>
  <c r="X16" i="3" s="1"/>
  <c r="T50" i="3"/>
  <c r="U50" i="3" s="1"/>
  <c r="E65" i="3"/>
  <c r="B65" i="3"/>
  <c r="T52" i="3"/>
  <c r="U52" i="3" s="1"/>
  <c r="T56" i="3"/>
  <c r="H54" i="2"/>
  <c r="N65" i="3"/>
  <c r="O65" i="3" s="1"/>
  <c r="G44" i="3"/>
  <c r="J44" i="3" s="1"/>
  <c r="L44" i="3" s="1"/>
  <c r="N44" i="3"/>
  <c r="O44" i="3" s="1"/>
  <c r="U65" i="3"/>
  <c r="B44" i="3"/>
  <c r="F44" i="3"/>
  <c r="H44" i="3" s="1"/>
  <c r="T59" i="3"/>
  <c r="U59" i="3" s="1"/>
  <c r="T60" i="3"/>
  <c r="T53" i="3"/>
  <c r="W9" i="3"/>
  <c r="N41" i="3" s="1"/>
  <c r="T49" i="3"/>
  <c r="U49" i="3" s="1"/>
  <c r="V9" i="3"/>
  <c r="X9" i="3" s="1"/>
  <c r="W23" i="3"/>
  <c r="N55" i="3" s="1"/>
  <c r="W31" i="3"/>
  <c r="T63" i="3"/>
  <c r="V31" i="3"/>
  <c r="X31" i="3" s="1"/>
  <c r="V22" i="3"/>
  <c r="X22" i="3" s="1"/>
  <c r="W22" i="3"/>
  <c r="N54" i="3" s="1"/>
  <c r="V23" i="3"/>
  <c r="X23" i="3" s="1"/>
  <c r="G37" i="3"/>
  <c r="W27" i="3"/>
  <c r="E59" i="3" s="1"/>
  <c r="B53" i="3"/>
  <c r="U44" i="3"/>
  <c r="W17" i="3"/>
  <c r="N49" i="3" s="1"/>
  <c r="O49" i="3" s="1"/>
  <c r="V21" i="3"/>
  <c r="X21" i="3" s="1"/>
  <c r="F53" i="3" s="1"/>
  <c r="H53" i="3" s="1"/>
  <c r="K53" i="3" s="1"/>
  <c r="W10" i="3"/>
  <c r="N42" i="3" s="1"/>
  <c r="T42" i="3"/>
  <c r="U42" i="3" s="1"/>
  <c r="I48" i="3"/>
  <c r="W13" i="3"/>
  <c r="N45" i="3" s="1"/>
  <c r="N53" i="3"/>
  <c r="H32" i="2"/>
  <c r="H38" i="2"/>
  <c r="H53" i="2"/>
  <c r="H49" i="2"/>
  <c r="H56" i="2"/>
  <c r="H57" i="2"/>
  <c r="F48" i="3"/>
  <c r="H48" i="3" s="1"/>
  <c r="K48" i="3" s="1"/>
  <c r="W29" i="3"/>
  <c r="V29" i="3"/>
  <c r="X29" i="3" s="1"/>
  <c r="N48" i="3"/>
  <c r="T57" i="3"/>
  <c r="U45" i="3"/>
  <c r="V28" i="3"/>
  <c r="X28" i="3" s="1"/>
  <c r="W25" i="3"/>
  <c r="V25" i="3"/>
  <c r="X25" i="3" s="1"/>
  <c r="B48" i="3"/>
  <c r="B56" i="3"/>
  <c r="E56" i="3"/>
  <c r="W19" i="3"/>
  <c r="N51" i="3" s="1"/>
  <c r="T51" i="3"/>
  <c r="V19" i="3"/>
  <c r="X19" i="3" s="1"/>
  <c r="V30" i="3"/>
  <c r="X30" i="3" s="1"/>
  <c r="W30" i="3"/>
  <c r="N62" i="3" s="1"/>
  <c r="T62" i="3"/>
  <c r="B60" i="3"/>
  <c r="E60" i="3"/>
  <c r="E46" i="3"/>
  <c r="B46" i="3"/>
  <c r="I53" i="3"/>
  <c r="V26" i="3"/>
  <c r="X26" i="3" s="1"/>
  <c r="W26" i="3"/>
  <c r="N58" i="3" s="1"/>
  <c r="T58" i="3"/>
  <c r="W11" i="3"/>
  <c r="N43" i="3" s="1"/>
  <c r="V11" i="3"/>
  <c r="X11" i="3" s="1"/>
  <c r="T43" i="3"/>
  <c r="N46" i="3"/>
  <c r="N60" i="3"/>
  <c r="W15" i="3"/>
  <c r="N47" i="3" s="1"/>
  <c r="V15" i="3"/>
  <c r="X15" i="3" s="1"/>
  <c r="T47" i="3"/>
  <c r="H50" i="2"/>
  <c r="H48" i="2"/>
  <c r="H41" i="2"/>
  <c r="H35" i="2"/>
  <c r="H36" i="2"/>
  <c r="H31" i="2"/>
  <c r="H34" i="2"/>
  <c r="H33" i="2"/>
  <c r="H46" i="2"/>
  <c r="H40" i="2"/>
  <c r="H43" i="2"/>
  <c r="H37" i="2"/>
  <c r="H39" i="2"/>
  <c r="H51" i="2"/>
  <c r="H44" i="2"/>
  <c r="H47" i="2"/>
  <c r="H52" i="2"/>
  <c r="H45" i="2"/>
  <c r="E64" i="3" l="1"/>
  <c r="P49" i="3"/>
  <c r="P65" i="3"/>
  <c r="Q65" i="3" s="1"/>
  <c r="P42" i="3"/>
  <c r="P58" i="3"/>
  <c r="P41" i="3"/>
  <c r="P43" i="3"/>
  <c r="P51" i="3"/>
  <c r="P44" i="3"/>
  <c r="Q44" i="3" s="1"/>
  <c r="P52" i="3"/>
  <c r="Q52" i="3" s="1"/>
  <c r="P60" i="3"/>
  <c r="P55" i="3"/>
  <c r="P45" i="3"/>
  <c r="P53" i="3"/>
  <c r="R53" i="3" s="1"/>
  <c r="V53" i="3" s="1"/>
  <c r="Z53" i="3" s="1"/>
  <c r="P48" i="3"/>
  <c r="R48" i="3" s="1"/>
  <c r="V48" i="3" s="1"/>
  <c r="Z48" i="3" s="1"/>
  <c r="P56" i="3"/>
  <c r="P64" i="3"/>
  <c r="P46" i="3"/>
  <c r="P54" i="3"/>
  <c r="P62" i="3"/>
  <c r="P47" i="3"/>
  <c r="B64" i="3"/>
  <c r="K44" i="3"/>
  <c r="M44" i="3" s="1"/>
  <c r="E50" i="3"/>
  <c r="I50" i="3" s="1"/>
  <c r="N50" i="3"/>
  <c r="O50" i="3" s="1"/>
  <c r="B52" i="3"/>
  <c r="O56" i="3"/>
  <c r="U56" i="3"/>
  <c r="E52" i="3"/>
  <c r="I52" i="3" s="1"/>
  <c r="U48" i="3"/>
  <c r="O48" i="3"/>
  <c r="U54" i="3"/>
  <c r="Q64" i="3"/>
  <c r="Q49" i="3"/>
  <c r="F65" i="3"/>
  <c r="H65" i="3" s="1"/>
  <c r="G65" i="3"/>
  <c r="J65" i="3" s="1"/>
  <c r="L65" i="3" s="1"/>
  <c r="I65" i="3"/>
  <c r="F64" i="3"/>
  <c r="H64" i="3" s="1"/>
  <c r="I64" i="3"/>
  <c r="G64" i="3"/>
  <c r="J64" i="3" s="1"/>
  <c r="O55" i="3"/>
  <c r="B41" i="3"/>
  <c r="B42" i="3"/>
  <c r="B45" i="3"/>
  <c r="O41" i="3"/>
  <c r="E45" i="3"/>
  <c r="F45" i="3" s="1"/>
  <c r="H45" i="3" s="1"/>
  <c r="U63" i="3"/>
  <c r="U43" i="3"/>
  <c r="E42" i="3"/>
  <c r="G42" i="3" s="1"/>
  <c r="J42" i="3" s="1"/>
  <c r="L42" i="3" s="1"/>
  <c r="E41" i="3"/>
  <c r="F41" i="3" s="1"/>
  <c r="H41" i="3" s="1"/>
  <c r="O54" i="3"/>
  <c r="U41" i="3"/>
  <c r="O42" i="3"/>
  <c r="O53" i="3"/>
  <c r="E63" i="3"/>
  <c r="B63" i="3"/>
  <c r="E54" i="3"/>
  <c r="F54" i="3" s="1"/>
  <c r="H54" i="3" s="1"/>
  <c r="B55" i="3"/>
  <c r="E55" i="3"/>
  <c r="U55" i="3"/>
  <c r="B49" i="3"/>
  <c r="B54" i="3"/>
  <c r="N63" i="3"/>
  <c r="P63" i="3" s="1"/>
  <c r="O45" i="3"/>
  <c r="B59" i="3"/>
  <c r="N59" i="3"/>
  <c r="P59" i="3" s="1"/>
  <c r="E49" i="3"/>
  <c r="G49" i="3" s="1"/>
  <c r="J49" i="3" s="1"/>
  <c r="L49" i="3" s="1"/>
  <c r="U53" i="3"/>
  <c r="U60" i="3"/>
  <c r="M53" i="3"/>
  <c r="U62" i="3"/>
  <c r="E61" i="3"/>
  <c r="B61" i="3"/>
  <c r="N61" i="3"/>
  <c r="P61" i="3" s="1"/>
  <c r="U61" i="3"/>
  <c r="B57" i="3"/>
  <c r="E57" i="3"/>
  <c r="U57" i="3"/>
  <c r="G56" i="3"/>
  <c r="J56" i="3" s="1"/>
  <c r="L56" i="3" s="1"/>
  <c r="I56" i="3"/>
  <c r="F56" i="3"/>
  <c r="H56" i="3" s="1"/>
  <c r="N57" i="3"/>
  <c r="P57" i="3" s="1"/>
  <c r="O47" i="3"/>
  <c r="O62" i="3"/>
  <c r="O43" i="3"/>
  <c r="O51" i="3"/>
  <c r="M48" i="3"/>
  <c r="O46" i="3"/>
  <c r="B51" i="3"/>
  <c r="E51" i="3"/>
  <c r="O60" i="3"/>
  <c r="I59" i="3"/>
  <c r="F59" i="3"/>
  <c r="H59" i="3" s="1"/>
  <c r="G59" i="3"/>
  <c r="J59" i="3" s="1"/>
  <c r="L59" i="3" s="1"/>
  <c r="B43" i="3"/>
  <c r="E43" i="3"/>
  <c r="E47" i="3"/>
  <c r="B47" i="3"/>
  <c r="E62" i="3"/>
  <c r="B62" i="3"/>
  <c r="U58" i="3"/>
  <c r="O58" i="3"/>
  <c r="I46" i="3"/>
  <c r="F46" i="3"/>
  <c r="H46" i="3" s="1"/>
  <c r="G46" i="3"/>
  <c r="J46" i="3" s="1"/>
  <c r="L46" i="3" s="1"/>
  <c r="F60" i="3"/>
  <c r="H60" i="3" s="1"/>
  <c r="G60" i="3"/>
  <c r="J60" i="3" s="1"/>
  <c r="L60" i="3" s="1"/>
  <c r="I60" i="3"/>
  <c r="U47" i="3"/>
  <c r="E58" i="3"/>
  <c r="B58" i="3"/>
  <c r="U51" i="3"/>
  <c r="G50" i="3" l="1"/>
  <c r="J50" i="3" s="1"/>
  <c r="L50" i="3" s="1"/>
  <c r="F50" i="3"/>
  <c r="H50" i="3" s="1"/>
  <c r="P50" i="3"/>
  <c r="L64" i="3"/>
  <c r="R64" i="3" s="1"/>
  <c r="V64" i="3" s="1"/>
  <c r="G52" i="3"/>
  <c r="J52" i="3" s="1"/>
  <c r="L52" i="3" s="1"/>
  <c r="F52" i="3"/>
  <c r="H52" i="3" s="1"/>
  <c r="Q56" i="3"/>
  <c r="F42" i="3"/>
  <c r="H42" i="3" s="1"/>
  <c r="K42" i="3" s="1"/>
  <c r="M42" i="3" s="1"/>
  <c r="Q55" i="3"/>
  <c r="Q53" i="3"/>
  <c r="S53" i="3" s="1"/>
  <c r="W53" i="3" s="1"/>
  <c r="AA53" i="3" s="1"/>
  <c r="K65" i="3"/>
  <c r="Q42" i="3"/>
  <c r="R44" i="3"/>
  <c r="V44" i="3" s="1"/>
  <c r="Z44" i="3" s="1"/>
  <c r="S44" i="3"/>
  <c r="Q41" i="3"/>
  <c r="K64" i="3"/>
  <c r="I41" i="3"/>
  <c r="G41" i="3"/>
  <c r="J41" i="3" s="1"/>
  <c r="L41" i="3" s="1"/>
  <c r="Q62" i="3"/>
  <c r="O59" i="3"/>
  <c r="Q59" i="3" s="1"/>
  <c r="G45" i="3"/>
  <c r="J45" i="3" s="1"/>
  <c r="L45" i="3" s="1"/>
  <c r="Q54" i="3"/>
  <c r="I45" i="3"/>
  <c r="I42" i="3"/>
  <c r="Q48" i="3"/>
  <c r="S48" i="3" s="1"/>
  <c r="W48" i="3" s="1"/>
  <c r="AA48" i="3" s="1"/>
  <c r="Q45" i="3"/>
  <c r="Q47" i="3"/>
  <c r="G55" i="3"/>
  <c r="J55" i="3" s="1"/>
  <c r="L55" i="3" s="1"/>
  <c r="F55" i="3"/>
  <c r="H55" i="3" s="1"/>
  <c r="I55" i="3"/>
  <c r="Q46" i="3"/>
  <c r="I54" i="3"/>
  <c r="G54" i="3"/>
  <c r="J54" i="3" s="1"/>
  <c r="L54" i="3" s="1"/>
  <c r="F49" i="3"/>
  <c r="H49" i="3" s="1"/>
  <c r="K49" i="3" s="1"/>
  <c r="M49" i="3" s="1"/>
  <c r="S49" i="3" s="1"/>
  <c r="O63" i="3"/>
  <c r="I63" i="3"/>
  <c r="F63" i="3"/>
  <c r="H63" i="3" s="1"/>
  <c r="G63" i="3"/>
  <c r="J63" i="3" s="1"/>
  <c r="L63" i="3" s="1"/>
  <c r="I49" i="3"/>
  <c r="Q58" i="3"/>
  <c r="R56" i="3"/>
  <c r="V56" i="3" s="1"/>
  <c r="Z56" i="3" s="1"/>
  <c r="O57" i="3"/>
  <c r="Q57" i="3" s="1"/>
  <c r="K60" i="3"/>
  <c r="K59" i="3"/>
  <c r="K50" i="3"/>
  <c r="Q43" i="3"/>
  <c r="K56" i="3"/>
  <c r="M56" i="3" s="1"/>
  <c r="O61" i="3"/>
  <c r="F61" i="3"/>
  <c r="H61" i="3" s="1"/>
  <c r="G61" i="3"/>
  <c r="J61" i="3" s="1"/>
  <c r="L61" i="3" s="1"/>
  <c r="I61" i="3"/>
  <c r="Q60" i="3"/>
  <c r="I57" i="3"/>
  <c r="F57" i="3"/>
  <c r="H57" i="3" s="1"/>
  <c r="G57" i="3"/>
  <c r="J57" i="3" s="1"/>
  <c r="L57" i="3" s="1"/>
  <c r="R59" i="3"/>
  <c r="V59" i="3" s="1"/>
  <c r="Z59" i="3" s="1"/>
  <c r="K46" i="3"/>
  <c r="R60" i="3"/>
  <c r="V60" i="3" s="1"/>
  <c r="Z60" i="3" s="1"/>
  <c r="R42" i="3"/>
  <c r="V42" i="3" s="1"/>
  <c r="Z42" i="3" s="1"/>
  <c r="F62" i="3"/>
  <c r="H62" i="3" s="1"/>
  <c r="G62" i="3"/>
  <c r="J62" i="3" s="1"/>
  <c r="L62" i="3" s="1"/>
  <c r="I62" i="3"/>
  <c r="F47" i="3"/>
  <c r="H47" i="3" s="1"/>
  <c r="G47" i="3"/>
  <c r="J47" i="3" s="1"/>
  <c r="L47" i="3" s="1"/>
  <c r="I47" i="3"/>
  <c r="F43" i="3"/>
  <c r="H43" i="3" s="1"/>
  <c r="G43" i="3"/>
  <c r="J43" i="3" s="1"/>
  <c r="L43" i="3" s="1"/>
  <c r="I43" i="3"/>
  <c r="Q50" i="3"/>
  <c r="F58" i="3"/>
  <c r="H58" i="3" s="1"/>
  <c r="I58" i="3"/>
  <c r="G58" i="3"/>
  <c r="J58" i="3" s="1"/>
  <c r="L58" i="3" s="1"/>
  <c r="F51" i="3"/>
  <c r="H51" i="3" s="1"/>
  <c r="I51" i="3"/>
  <c r="G51" i="3"/>
  <c r="J51" i="3" s="1"/>
  <c r="L51" i="3" s="1"/>
  <c r="R49" i="3"/>
  <c r="V49" i="3" s="1"/>
  <c r="Z49" i="3" s="1"/>
  <c r="Q51" i="3"/>
  <c r="M64" i="3" l="1"/>
  <c r="S64" i="3" s="1"/>
  <c r="W64" i="3"/>
  <c r="K52" i="3"/>
  <c r="K41" i="3"/>
  <c r="M41" i="3" s="1"/>
  <c r="S41" i="3" s="1"/>
  <c r="S56" i="3"/>
  <c r="W56" i="3" s="1"/>
  <c r="AA56" i="3" s="1"/>
  <c r="W44" i="3"/>
  <c r="AA44" i="3" s="1"/>
  <c r="S42" i="3"/>
  <c r="W42" i="3" s="1"/>
  <c r="AA42" i="3" s="1"/>
  <c r="R45" i="3"/>
  <c r="V45" i="3" s="1"/>
  <c r="Z45" i="3" s="1"/>
  <c r="K54" i="3"/>
  <c r="R54" i="3"/>
  <c r="V54" i="3" s="1"/>
  <c r="Z54" i="3" s="1"/>
  <c r="R65" i="3"/>
  <c r="V65" i="3" s="1"/>
  <c r="M65" i="3"/>
  <c r="S65" i="3" s="1"/>
  <c r="K45" i="3"/>
  <c r="K47" i="3"/>
  <c r="M47" i="3" s="1"/>
  <c r="S47" i="3" s="1"/>
  <c r="K62" i="3"/>
  <c r="M62" i="3" s="1"/>
  <c r="S62" i="3" s="1"/>
  <c r="M60" i="3"/>
  <c r="S60" i="3" s="1"/>
  <c r="W60" i="3" s="1"/>
  <c r="AA60" i="3" s="1"/>
  <c r="R63" i="3"/>
  <c r="V63" i="3" s="1"/>
  <c r="Z63" i="3" s="1"/>
  <c r="K63" i="3"/>
  <c r="M63" i="3" s="1"/>
  <c r="K55" i="3"/>
  <c r="Q63" i="3"/>
  <c r="K58" i="3"/>
  <c r="M59" i="3"/>
  <c r="S59" i="3" s="1"/>
  <c r="W59" i="3" s="1"/>
  <c r="AA59" i="3" s="1"/>
  <c r="R58" i="3"/>
  <c r="V58" i="3" s="1"/>
  <c r="Z58" i="3" s="1"/>
  <c r="W49" i="3"/>
  <c r="AA49" i="3" s="1"/>
  <c r="K61" i="3"/>
  <c r="M61" i="3" s="1"/>
  <c r="Q61" i="3"/>
  <c r="R61" i="3"/>
  <c r="V61" i="3" s="1"/>
  <c r="Z61" i="3" s="1"/>
  <c r="R57" i="3"/>
  <c r="V57" i="3" s="1"/>
  <c r="Z57" i="3" s="1"/>
  <c r="K57" i="3"/>
  <c r="R43" i="3"/>
  <c r="V43" i="3" s="1"/>
  <c r="Z43" i="3" s="1"/>
  <c r="K43" i="3"/>
  <c r="M43" i="3" s="1"/>
  <c r="S43" i="3" s="1"/>
  <c r="M46" i="3"/>
  <c r="S46" i="3" s="1"/>
  <c r="R46" i="3"/>
  <c r="V46" i="3" s="1"/>
  <c r="Z46" i="3" s="1"/>
  <c r="R41" i="3"/>
  <c r="V41" i="3" s="1"/>
  <c r="M50" i="3"/>
  <c r="S50" i="3" s="1"/>
  <c r="R50" i="3"/>
  <c r="V50" i="3" s="1"/>
  <c r="Z50" i="3" s="1"/>
  <c r="R51" i="3"/>
  <c r="V51" i="3" s="1"/>
  <c r="Z51" i="3" s="1"/>
  <c r="K51" i="3"/>
  <c r="M51" i="3" s="1"/>
  <c r="S51" i="3" s="1"/>
  <c r="R52" i="3"/>
  <c r="V52" i="3" s="1"/>
  <c r="Z52" i="3" s="1"/>
  <c r="M52" i="3"/>
  <c r="S52" i="3" s="1"/>
  <c r="M45" i="3" l="1"/>
  <c r="S45" i="3" s="1"/>
  <c r="W45" i="3" s="1"/>
  <c r="AA45" i="3" s="1"/>
  <c r="W65" i="3"/>
  <c r="M57" i="3"/>
  <c r="S57" i="3" s="1"/>
  <c r="W57" i="3" s="1"/>
  <c r="AA57" i="3" s="1"/>
  <c r="S63" i="3"/>
  <c r="W63" i="3" s="1"/>
  <c r="AA63" i="3" s="1"/>
  <c r="R47" i="3"/>
  <c r="V47" i="3" s="1"/>
  <c r="Z47" i="3" s="1"/>
  <c r="R55" i="3"/>
  <c r="V55" i="3" s="1"/>
  <c r="Z55" i="3" s="1"/>
  <c r="M55" i="3"/>
  <c r="S55" i="3" s="1"/>
  <c r="M54" i="3"/>
  <c r="S54" i="3" s="1"/>
  <c r="W54" i="3" s="1"/>
  <c r="AA54" i="3" s="1"/>
  <c r="R62" i="3"/>
  <c r="V62" i="3" s="1"/>
  <c r="S61" i="3"/>
  <c r="W61" i="3" s="1"/>
  <c r="AA61" i="3" s="1"/>
  <c r="W41" i="3"/>
  <c r="M58" i="3"/>
  <c r="S58" i="3" s="1"/>
  <c r="W58" i="3" s="1"/>
  <c r="AA58" i="3" s="1"/>
  <c r="W52" i="3"/>
  <c r="AA52" i="3" s="1"/>
  <c r="W51" i="3"/>
  <c r="AA51" i="3" s="1"/>
  <c r="W50" i="3"/>
  <c r="AA50" i="3" s="1"/>
  <c r="W46" i="3"/>
  <c r="AA46" i="3" s="1"/>
  <c r="W43" i="3"/>
  <c r="AA43" i="3" s="1"/>
  <c r="W62" i="3" l="1"/>
  <c r="Z62" i="3"/>
  <c r="W47" i="3"/>
  <c r="AA47" i="3" s="1"/>
  <c r="W55" i="3"/>
  <c r="AA55" i="3" s="1"/>
  <c r="AA62" i="3" l="1"/>
  <c r="Z67" i="3"/>
  <c r="AB48" i="3" s="1"/>
  <c r="AN48" i="3" s="1"/>
  <c r="AY48" i="3" s="1"/>
  <c r="Z68" i="3"/>
  <c r="C14" i="1" l="1"/>
  <c r="AB61" i="3"/>
  <c r="AN61" i="3" s="1"/>
  <c r="AY61" i="3" s="1"/>
  <c r="AB52" i="3"/>
  <c r="AN52" i="3" s="1"/>
  <c r="AY52" i="3" s="1"/>
  <c r="AB60" i="3"/>
  <c r="AN60" i="3" s="1"/>
  <c r="AY60" i="3" s="1"/>
  <c r="AB46" i="3"/>
  <c r="AN46" i="3" s="1"/>
  <c r="AY46" i="3" s="1"/>
  <c r="AB44" i="3"/>
  <c r="AN44" i="3" s="1"/>
  <c r="AY44" i="3" s="1"/>
  <c r="AB54" i="3"/>
  <c r="AN54" i="3" s="1"/>
  <c r="AY54" i="3" s="1"/>
  <c r="AB56" i="3"/>
  <c r="AN56" i="3" s="1"/>
  <c r="AY56" i="3" s="1"/>
  <c r="AB58" i="3"/>
  <c r="AB53" i="3"/>
  <c r="AN53" i="3" s="1"/>
  <c r="AY53" i="3" s="1"/>
  <c r="AB63" i="3"/>
  <c r="AN63" i="3" s="1"/>
  <c r="AY63" i="3" s="1"/>
  <c r="AB49" i="3"/>
  <c r="AN49" i="3" s="1"/>
  <c r="AY49" i="3" s="1"/>
  <c r="AB43" i="3"/>
  <c r="AB59" i="3"/>
  <c r="AB50" i="3"/>
  <c r="AN50" i="3" s="1"/>
  <c r="AY50" i="3" s="1"/>
  <c r="AB55" i="3"/>
  <c r="AN55" i="3" s="1"/>
  <c r="AY55" i="3" s="1"/>
  <c r="AB45" i="3"/>
  <c r="AC48" i="3"/>
  <c r="AO48" i="3" s="1"/>
  <c r="AC53" i="3"/>
  <c r="AO53" i="3" s="1"/>
  <c r="AC59" i="3"/>
  <c r="AO59" i="3" s="1"/>
  <c r="AC44" i="3"/>
  <c r="AO44" i="3" s="1"/>
  <c r="AC49" i="3"/>
  <c r="AC56" i="3"/>
  <c r="AO56" i="3" s="1"/>
  <c r="AC60" i="3"/>
  <c r="AC61" i="3"/>
  <c r="AC58" i="3"/>
  <c r="AO58" i="3" s="1"/>
  <c r="AC45" i="3"/>
  <c r="AO45" i="3" s="1"/>
  <c r="AC50" i="3"/>
  <c r="AO50" i="3" s="1"/>
  <c r="AC43" i="3"/>
  <c r="AO43" i="3" s="1"/>
  <c r="AC52" i="3"/>
  <c r="AC63" i="3"/>
  <c r="AO63" i="3" s="1"/>
  <c r="AC54" i="3"/>
  <c r="AO54" i="3" s="1"/>
  <c r="AC46" i="3"/>
  <c r="AC55" i="3"/>
  <c r="AO55" i="3" s="1"/>
  <c r="AZ44" i="3" l="1"/>
  <c r="D12" i="1" s="1"/>
  <c r="C12" i="1"/>
  <c r="C5" i="1"/>
  <c r="AZ50" i="3"/>
  <c r="D18" i="1" s="1"/>
  <c r="C18" i="1"/>
  <c r="AZ54" i="3"/>
  <c r="D9" i="1" s="1"/>
  <c r="C9" i="1"/>
  <c r="C7" i="1"/>
  <c r="AZ48" i="3"/>
  <c r="D14" i="1" s="1"/>
  <c r="C15" i="1"/>
  <c r="AZ53" i="3"/>
  <c r="D15" i="1" s="1"/>
  <c r="C11" i="1"/>
  <c r="C6" i="1"/>
  <c r="C21" i="1"/>
  <c r="AZ63" i="3"/>
  <c r="D21" i="1" s="1"/>
  <c r="C8" i="1"/>
  <c r="AZ55" i="3"/>
  <c r="D19" i="1" s="1"/>
  <c r="C19" i="1"/>
  <c r="AZ56" i="3"/>
  <c r="D10" i="1" s="1"/>
  <c r="C10" i="1"/>
  <c r="AN59" i="3"/>
  <c r="AY59" i="3" s="1"/>
  <c r="AZ59" i="3" s="1"/>
  <c r="AO60" i="3"/>
  <c r="AO52" i="3"/>
  <c r="AN43" i="3"/>
  <c r="AB65" i="3"/>
  <c r="AO49" i="3"/>
  <c r="AO46" i="3"/>
  <c r="AO61" i="3"/>
  <c r="AN45" i="3"/>
  <c r="AN58" i="3"/>
  <c r="Z70" i="3"/>
  <c r="C24" i="1" l="1"/>
  <c r="BA56" i="3"/>
  <c r="BA54" i="3"/>
  <c r="BA53" i="3"/>
  <c r="BA44" i="3"/>
  <c r="BA50" i="3"/>
  <c r="AY58" i="3"/>
  <c r="AY45" i="3"/>
  <c r="AZ52" i="3"/>
  <c r="D8" i="1" s="1"/>
  <c r="AZ61" i="3"/>
  <c r="D11" i="1" s="1"/>
  <c r="AZ60" i="3"/>
  <c r="D6" i="1" s="1"/>
  <c r="AY43" i="3"/>
  <c r="AZ46" i="3"/>
  <c r="D7" i="1" s="1"/>
  <c r="BA48" i="3"/>
  <c r="AZ49" i="3"/>
  <c r="D5" i="1" s="1"/>
  <c r="BA55" i="3"/>
  <c r="BA63" i="3"/>
  <c r="BA61" i="3" l="1"/>
  <c r="BA49" i="3"/>
  <c r="BA52" i="3"/>
  <c r="C16" i="1"/>
  <c r="AZ43" i="3"/>
  <c r="C13" i="1"/>
  <c r="AZ58" i="3"/>
  <c r="BA46" i="3"/>
  <c r="AZ45" i="3"/>
  <c r="C20" i="1"/>
  <c r="BA60" i="3"/>
  <c r="D16" i="1" l="1"/>
  <c r="BA43" i="3"/>
  <c r="D20" i="1"/>
  <c r="BA45" i="3"/>
  <c r="D13" i="1"/>
  <c r="BA58" i="3"/>
  <c r="BA6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Vas  Petrenko</author>
    <author>tc={848E9084-6283-DE4E-87B5-BAC8176B9AA9}</author>
    <author>tc={0A7DBA6B-4242-A24A-B907-76441BC91655}</author>
    <author>tc={D37CD7C4-EB9F-674C-92E1-265216060A62}</author>
    <author>tc={BAD194FE-178A-DE47-AFD8-BFA65F5E8450}</author>
    <author>tc={3E590A3E-A36C-3C44-A590-7708CC9F0D72}</author>
  </authors>
  <commentList>
    <comment ref="B5" authorId="0" shapeId="0" xr:uid="{353E7AA2-0162-9C47-BA66-2DACA0D27591}">
      <text>
        <r>
          <rPr>
            <b/>
            <sz val="9"/>
            <color rgb="FF000000"/>
            <rFont val="Calibri"/>
            <family val="2"/>
          </rPr>
          <t>Vas  Petrenko:</t>
        </r>
        <r>
          <rPr>
            <sz val="9"/>
            <color rgb="FF000000"/>
            <rFont val="Calibri"/>
            <family val="2"/>
          </rPr>
          <t xml:space="preserve">
</t>
        </r>
        <r>
          <rPr>
            <sz val="9"/>
            <color rgb="FF000000"/>
            <rFont val="Calibri"/>
            <family val="2"/>
          </rPr>
          <t>Normalized to lg standards, d13C corrected</t>
        </r>
      </text>
    </comment>
    <comment ref="A6" authorId="1" shapeId="0" xr:uid="{848E9084-6283-DE4E-87B5-BAC8176B9AA9}">
      <text>
        <t>[Threaded comment]
Your version of Excel allows you to read this threaded comment; however, any edits to it will get removed if the file is opened in a newer version of Excel. Learn more: https://go.microsoft.com/fwlink/?linkid=870924
Comment:
    There were no commensurately sized OX2s included in the Dome C sample wheel (wheel 2); just these two OX1s</t>
      </text>
    </comment>
    <comment ref="D12" authorId="2" shapeId="0" xr:uid="{0A7DBA6B-4242-A24A-B907-76441BC91655}">
      <text>
        <t>[Threaded comment]
Your version of Excel allows you to read this threaded comment; however, any edits to it will get removed if the file is opened in a newer version of Excel. Learn more: https://go.microsoft.com/fwlink/?linkid=870924
Comment:
    This is OZQ456, dead CO2 standard. Using average of 1mg blanks from this run here (wheels 3 &amp; 4)</t>
      </text>
    </comment>
    <comment ref="B30" authorId="3" shapeId="0" xr:uid="{D37CD7C4-EB9F-674C-92E1-265216060A62}">
      <text>
        <t xml:space="preserve">[Threaded comment]
Your version of Excel allows you to read this threaded comment; however, any edits to it will get removed if the file is opened in a newer version of Excel. Learn more: https://go.microsoft.com/fwlink/?linkid=870924
Comment:
    d13C-corrected and normalized to large standards. </t>
      </text>
    </comment>
    <comment ref="A54" authorId="4" shapeId="0" xr:uid="{BAD194FE-178A-DE47-AFD8-BFA65F5E8450}">
      <text>
        <t>[Threaded comment]
Your version of Excel allows you to read this threaded comment; however, any edits to it will get removed if the file is opened in a newer version of Excel. Learn more: https://go.microsoft.com/fwlink/?linkid=870924
Comment:
    sample measured in wheel 3. However, there were no commensurately sized stds in wheel 3, only blanks. So including this sample in the same analysis as all wheel 2 samples</t>
      </text>
    </comment>
    <comment ref="A55" authorId="5" shapeId="0" xr:uid="{3E590A3E-A36C-3C44-A590-7708CC9F0D72}">
      <text>
        <t>[Threaded comment]
Your version of Excel allows you to read this threaded comment; however, any edits to it will get removed if the file is opened in a newer version of Excel. Learn more: https://go.microsoft.com/fwlink/?linkid=870924
Comment:
    sample measured in wheel 3. However, there were no commensurately sized stds in wheel 3, only blanks. So including this sample in the same analysis as all wheel 2 samples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Vas  Petrenko</author>
    <author>tc={3AA919F7-125D-F749-B036-6FA0872EFC01}</author>
    <author>tc={F8B62FE9-8548-2649-8517-AE7AE92C62FF}</author>
    <author>tc={9F61389F-CD5A-E34C-89C0-4F53A3BD2FBB}</author>
    <author>tc={B3FEFE26-AC8B-2841-9315-ABD63E3BD3CF}</author>
    <author>tc={DF8D8852-0392-EB42-A8E9-BDBDBDCFD8A7}</author>
    <author>tc={48E70D59-2808-8643-A320-66F23012B6AF}</author>
    <author>tc={1FF90DED-BDEB-4848-93C9-6FEB9141403A}</author>
  </authors>
  <commentList>
    <comment ref="B6" authorId="0" shapeId="0" xr:uid="{20830D37-1548-DA4A-B369-153BC9ECFEC0}">
      <text>
        <r>
          <rPr>
            <b/>
            <sz val="9"/>
            <color rgb="FF000000"/>
            <rFont val="Calibri"/>
            <family val="2"/>
          </rPr>
          <t>Vas  Petrenko:</t>
        </r>
        <r>
          <rPr>
            <sz val="9"/>
            <color rgb="FF000000"/>
            <rFont val="Calibri"/>
            <family val="2"/>
          </rPr>
          <t xml:space="preserve">
</t>
        </r>
        <r>
          <rPr>
            <sz val="9"/>
            <color rgb="FF000000"/>
            <rFont val="Calibri"/>
            <family val="2"/>
          </rPr>
          <t>Normalized to lg standards, d13C corrected</t>
        </r>
      </text>
    </comment>
    <comment ref="A9" authorId="1" shapeId="0" xr:uid="{3AA919F7-125D-F749-B036-6FA0872EFC01}">
      <text>
        <t>[Threaded comment]
Your version of Excel allows you to read this threaded comment; however, any edits to it will get removed if the file is opened in a newer version of Excel. Learn more: https://go.microsoft.com/fwlink/?linkid=870924
Comment:
    There were no commensurately sized OX2s included in the Dome C sample wheel (wheel 2); just these two OX1s</t>
      </text>
    </comment>
    <comment ref="D15" authorId="2" shapeId="0" xr:uid="{F8B62FE9-8548-2649-8517-AE7AE92C62FF}">
      <text>
        <t>[Threaded comment]
Your version of Excel allows you to read this threaded comment; however, any edits to it will get removed if the file is opened in a newer version of Excel. Learn more: https://go.microsoft.com/fwlink/?linkid=870924
Comment:
    This is OZQ456, dead CO2 standard. Using average of 1mg blanks from this run here (wheels 3 &amp; 4)</t>
      </text>
    </comment>
    <comment ref="B33" authorId="3" shapeId="0" xr:uid="{9F61389F-CD5A-E34C-89C0-4F53A3BD2FBB}">
      <text>
        <t xml:space="preserve">[Threaded comment]
Your version of Excel allows you to read this threaded comment; however, any edits to it will get removed if the file is opened in a newer version of Excel. Learn more: https://go.microsoft.com/fwlink/?linkid=870924
Comment:
    d13C-corrected and normalized to large standards. </t>
      </text>
    </comment>
    <comment ref="I33" authorId="4" shapeId="0" xr:uid="{B3FEFE26-AC8B-2841-9315-ABD63E3BD3CF}">
      <text>
        <t xml:space="preserve">[Threaded comment]
Your version of Excel allows you to read this threaded comment; however, any edits to it will get removed if the file is opened in a newer version of Excel. Learn more: https://go.microsoft.com/fwlink/?linkid=870924
Comment:
    d13C-corrected and normalized to large standards. </t>
      </text>
    </comment>
    <comment ref="Q33" authorId="5" shapeId="0" xr:uid="{DF8D8852-0392-EB42-A8E9-BDBDBDCFD8A7}">
      <text>
        <t>[Threaded comment]
Your version of Excel allows you to read this threaded comment; however, any edits to it will get removed if the file is opened in a newer version of Excel. Learn more: https://go.microsoft.com/fwlink/?linkid=870924
Comment:
    Taking this as a 1-sigma error</t>
      </text>
    </comment>
    <comment ref="A57" authorId="6" shapeId="0" xr:uid="{48E70D59-2808-8643-A320-66F23012B6AF}">
      <text>
        <t>[Threaded comment]
Your version of Excel allows you to read this threaded comment; however, any edits to it will get removed if the file is opened in a newer version of Excel. Learn more: https://go.microsoft.com/fwlink/?linkid=870924
Comment:
    sample measured in wheel 3. However, there were no commensurately sized stds in wheel 3, only blanks. So including this sample in the same analysis as all wheel 2 samples</t>
      </text>
    </comment>
    <comment ref="A58" authorId="7" shapeId="0" xr:uid="{1FF90DED-BDEB-4848-93C9-6FEB9141403A}">
      <text>
        <t>[Threaded comment]
Your version of Excel allows you to read this threaded comment; however, any edits to it will get removed if the file is opened in a newer version of Excel. Learn more: https://go.microsoft.com/fwlink/?linkid=870924
Comment:
    sample measured in wheel 3. However, there were no commensurately sized stds in wheel 3, only blanks. So including this sample in the same analysis as all wheel 2 samples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Vas  Petrenko</author>
    <author>tc={AABD7D54-BC3B-9D46-99AF-596FF27C1827}</author>
    <author>tc={413DF352-373A-F84B-8720-CA8B000750AD}</author>
    <author>tc={7B1AA631-43DB-1D4A-A23E-BF4C80B1744A}</author>
    <author>tc={78B353CF-C722-C640-8C35-E7A2F7C40349}</author>
    <author>tc={AE0A357B-9835-F449-A2FF-446DE5226E85}</author>
    <author>tc={99C48E3D-9E72-6C42-B82A-26C0A8BDE705}</author>
    <author>tc={BDF46F63-1D0B-EA41-A157-8E019F378EEE}</author>
    <author>tc={9C90A35B-E91A-2D4D-A2BC-08D4D2BA2CE2}</author>
    <author>Vas</author>
    <author>tc={9FCEFEBB-0276-C940-90AF-68C754F35E12}</author>
    <author>tc={6194D51A-9416-E847-90FE-32CF4AE7E9B7}</author>
    <author>tc={26A641C3-4311-5945-9842-1B36C49E3BCF}</author>
    <author>tc={EC04BA84-9D10-3E47-BB03-77F7B5020DF8}</author>
    <author>tc={90175F2B-DACA-B543-A708-9BD4437436E0}</author>
    <author>tc={73971CC4-33C1-4042-9035-195A6C7A2F5C}</author>
    <author>tc={EA101724-42CA-4546-8556-87199D276ADA}</author>
    <author>tc={44286197-62A9-9843-A6EC-9112E56618BB}</author>
    <author>tc={AA98C098-99CB-654D-A516-EF4F3B590497}</author>
  </authors>
  <commentList>
    <comment ref="G6" authorId="0" shapeId="0" xr:uid="{C44B7C82-BDFB-ED4A-BF89-E75B4E2BA45E}">
      <text>
        <r>
          <rPr>
            <b/>
            <sz val="9"/>
            <color rgb="FF000000"/>
            <rFont val="Calibri"/>
            <family val="2"/>
          </rPr>
          <t>Vas  Petrenko:</t>
        </r>
        <r>
          <rPr>
            <sz val="9"/>
            <color rgb="FF000000"/>
            <rFont val="Calibri"/>
            <family val="2"/>
          </rPr>
          <t xml:space="preserve">
</t>
        </r>
        <r>
          <rPr>
            <sz val="9"/>
            <color rgb="FF000000"/>
            <rFont val="Calibri"/>
            <family val="2"/>
          </rPr>
          <t>Paroscientific gauge with 0.01% accuracy</t>
        </r>
      </text>
    </comment>
    <comment ref="A8" authorId="1" shapeId="0" xr:uid="{AABD7D54-BC3B-9D46-99AF-596FF27C1827}">
      <text>
        <t>[Threaded comment]
Your version of Excel allows you to read this threaded comment; however, any edits to it will get removed if the file is opened in a newer version of Excel. Learn more: https://go.microsoft.com/fwlink/?linkid=870924
Comment:
    Linked to “Empirical ANSTO blank corr” sheet</t>
      </text>
    </comment>
    <comment ref="C8" authorId="2" shapeId="0" xr:uid="{413DF352-373A-F84B-8720-CA8B000750AD}">
      <text>
        <t>[Threaded comment]
Your version of Excel allows you to read this threaded comment; however, any edits to it will get removed if the file is opened in a newer version of Excel. Learn more: https://go.microsoft.com/fwlink/?linkid=870924
Comment:
    For now just using the value we provided to Andrew; should re-check later</t>
      </text>
    </comment>
    <comment ref="D8" authorId="3" shapeId="0" xr:uid="{7B1AA631-43DB-1D4A-A23E-BF4C80B1744A}">
      <text>
        <t>[Threaded comment]
Your version of Excel allows you to read this threaded comment; however, any edits to it will get removed if the file is opened in a newer version of Excel. Learn more: https://go.microsoft.com/fwlink/?linkid=870924
Comment:
    Need to revisit</t>
      </text>
    </comment>
    <comment ref="E8" authorId="4" shapeId="0" xr:uid="{78B353CF-C722-C640-8C35-E7A2F7C40349}">
      <text>
        <t>[Threaded comment]
Your version of Excel allows you to read this threaded comment; however, any edits to it will get removed if the file is opened in a newer version of Excel. Learn more: https://go.microsoft.com/fwlink/?linkid=870924
Comment:
    corrected for d13C and normalized to large standards</t>
      </text>
    </comment>
    <comment ref="O8" authorId="0" shapeId="0" xr:uid="{956395B4-6306-F642-B751-B5FAB0F77EB9}">
      <text>
        <r>
          <rPr>
            <b/>
            <sz val="9"/>
            <color rgb="FF000000"/>
            <rFont val="Calibri"/>
            <family val="2"/>
          </rPr>
          <t>Vas  Petrenko:</t>
        </r>
        <r>
          <rPr>
            <sz val="9"/>
            <color rgb="FF000000"/>
            <rFont val="Calibri"/>
            <family val="2"/>
          </rPr>
          <t xml:space="preserve">
</t>
        </r>
        <r>
          <rPr>
            <sz val="9"/>
            <color rgb="FF000000"/>
            <rFont val="Calibri"/>
            <family val="2"/>
          </rPr>
          <t xml:space="preserve"> Since I am just looking at drift between the pre-dilution and post-dilution temperatures, I think this is a reasonable estimate (so more of a relative error). T-couple reads to 0.1, but we don't have a 100% representative coverage of tank
</t>
        </r>
      </text>
    </comment>
    <comment ref="M23" authorId="5" shapeId="0" xr:uid="{AE0A357B-9835-F449-A2FF-446DE5226E85}">
      <text>
        <t>[Threaded comment]
Your version of Excel allows you to read this threaded comment; however, any edits to it will get removed if the file is opened in a newer version of Excel. Learn more: https://go.microsoft.com/fwlink/?linkid=870924
Comment:
    adjusted by 0.1˚C based on notebook</t>
      </text>
    </comment>
    <comment ref="J35" authorId="6" shapeId="0" xr:uid="{99C48E3D-9E72-6C42-B82A-26C0A8BDE705}">
      <text>
        <t>[Threaded comment]
Your version of Excel allows you to read this threaded comment; however, any edits to it will get removed if the file is opened in a newer version of Excel. Learn more: https://go.microsoft.com/fwlink/?linkid=870924
Comment:
    provided by Linde Gas</t>
      </text>
    </comment>
    <comment ref="A37" authorId="7" shapeId="0" xr:uid="{BDF46F63-1D0B-EA41-A157-8E019F378EEE}">
      <text>
        <t>[Threaded comment]
Your version of Excel allows you to read this threaded comment; however, any edits to it will get removed if the file is opened in a newer version of Excel. Learn more: https://go.microsoft.com/fwlink/?linkid=870924
Comment:
     Tank is CC91353</t>
      </text>
    </comment>
    <comment ref="C37" authorId="8" shapeId="0" xr:uid="{9C90A35B-E91A-2D4D-A2BC-08D4D2BA2CE2}">
      <text>
        <t>[Threaded comment]
Your version of Excel allows you to read this threaded comment; however, any edits to it will get removed if the file is opened in a newer version of Excel. Learn more: https://go.microsoft.com/fwlink/?linkid=870924
Comment:
    INSTAAR measurement</t>
      </text>
    </comment>
    <comment ref="M40" authorId="9" shapeId="0" xr:uid="{5C6F50B6-379C-A643-AFB0-28373E0C0E23}">
      <text>
        <r>
          <rPr>
            <b/>
            <sz val="9"/>
            <color rgb="FF000000"/>
            <rFont val="Verdana"/>
            <family val="2"/>
          </rPr>
          <t>Vas:</t>
        </r>
        <r>
          <rPr>
            <sz val="9"/>
            <color rgb="FF000000"/>
            <rFont val="Verdana"/>
            <family val="2"/>
          </rPr>
          <t xml:space="preserve">
</t>
        </r>
        <r>
          <rPr>
            <sz val="9"/>
            <color rgb="FF000000"/>
            <rFont val="Verdana"/>
            <family val="2"/>
          </rPr>
          <t>Contribution from error in d13C is negligible and is ignored</t>
        </r>
      </text>
    </comment>
    <comment ref="Q40" authorId="9" shapeId="0" xr:uid="{8DFEF0CF-2435-9443-AD86-B2CD2B35B264}">
      <text>
        <r>
          <rPr>
            <b/>
            <sz val="9"/>
            <color rgb="FF000000"/>
            <rFont val="Verdana"/>
            <family val="2"/>
          </rPr>
          <t>Vas:</t>
        </r>
        <r>
          <rPr>
            <sz val="9"/>
            <color rgb="FF000000"/>
            <rFont val="Verdana"/>
            <family val="2"/>
          </rPr>
          <t xml:space="preserve">
</t>
        </r>
        <r>
          <rPr>
            <sz val="9"/>
            <color rgb="FF000000"/>
            <rFont val="Verdana"/>
            <family val="2"/>
          </rPr>
          <t xml:space="preserve">Error frpm d13C is again negligible and is ignored
</t>
        </r>
      </text>
    </comment>
    <comment ref="AD40" authorId="10" shapeId="0" xr:uid="{9FCEFEBB-0276-C940-90AF-68C754F35E12}">
      <text>
        <t>[Threaded comment]
Your version of Excel allows you to read this threaded comment; however, any edits to it will get removed if the file is opened in a newer version of Excel. Learn more: https://go.microsoft.com/fwlink/?linkid=870924
Comment:
    based on Fain et al 2023 CP ice Dome C continuous measurements</t>
      </text>
    </comment>
    <comment ref="AF40" authorId="11" shapeId="0" xr:uid="{6194D51A-9416-E847-90FE-32CF4AE7E9B7}">
      <text>
        <t>[Threaded comment]
Your version of Excel allows you to read this threaded comment; however, any edits to it will get removed if the file is opened in a newer version of Excel. Learn more: https://go.microsoft.com/fwlink/?linkid=870924
Comment:
    The water blank CO increased at mid-season, after a set of IGE extractiions. This was also reflected in generally higher ice sample CO starting with our ice sample 6. So I am using the average of 2 water blanks run in early season and applying that for earlier samples, and using the average of the 2 late-season water blanks for late-season samples. Samples 11 - 14 were in late season, run without the bubbler/recirculation, and had slightly lower CO. So assigning a slightly lower blank for these</t>
      </text>
    </comment>
    <comment ref="AJ40" authorId="12" shapeId="0" xr:uid="{26A641C3-4311-5945-9842-1B36C49E3BCF}">
      <text>
        <t>[Threaded comment]
Your version of Excel allows you to read this threaded comment; however, any edits to it will get removed if the file is opened in a newer version of Excel. Learn more: https://go.microsoft.com/fwlink/?linkid=870924
Comment:
    We don't really know this. This value could be consistent with the hot melter wall CO, but given the erratic nature of blanks, there was likely an external contaminant</t>
      </text>
    </comment>
    <comment ref="AK40" authorId="13" shapeId="0" xr:uid="{EC04BA84-9D10-3E47-BB03-77F7B5020DF8}">
      <text>
        <t>[Threaded comment]
Your version of Excel allows you to read this threaded comment; however, any edits to it will get removed if the file is opened in a newer version of Excel. Learn more: https://go.microsoft.com/fwlink/?linkid=870924
Comment:
    25 pMC 1-sigma error allows for anywheer between 0 and 100 pMC at 2 sigma</t>
      </text>
    </comment>
    <comment ref="AL40" authorId="14" shapeId="0" xr:uid="{90175F2B-DACA-B543-A708-9BD4437436E0}">
      <text>
        <t>[Threaded comment]
Your version of Excel allows you to read this threaded comment; however, any edits to it will get removed if the file is opened in a newer version of Excel. Learn more: https://go.microsoft.com/fwlink/?linkid=870924
Comment:
    assuming -25 per mil for this extra CO</t>
      </text>
    </comment>
    <comment ref="AM40" authorId="15" shapeId="0" xr:uid="{73971CC4-33C1-4042-9035-195A6C7A2F5C}">
      <text>
        <t>[Threaded comment]
Your version of Excel allows you to read this threaded comment; however, any edits to it will get removed if the file is opened in a newer version of Excel. Learn more: https://go.microsoft.com/fwlink/?linkid=870924
Comment:
    d13C uncertainty is unimportant comapred to pMC uncertainty</t>
      </text>
    </comment>
    <comment ref="AP40" authorId="16" shapeId="0" xr:uid="{EA101724-42CA-4546-8556-87199D276ADA}">
      <text>
        <t>[Threaded comment]
Your version of Excel allows you to read this threaded comment; however, any edits to it will get removed if the file is opened in a newer version of Excel. Learn more: https://go.microsoft.com/fwlink/?linkid=870924
Comment:
    For firn samples, I am assuming this is negligible. For ice samples, assuming this is equal to the average of the somewhat older (4" core) Law Dome samples (after all corrections). See "Notes on 14CO data corrections.docx"</t>
      </text>
    </comment>
    <comment ref="AT40" authorId="17" shapeId="0" xr:uid="{44286197-62A9-9843-A6EC-9112E56618BB}">
      <text>
        <t>[Threaded comment]
Your version of Excel allows you to read this threaded comment; however, any edits to it will get removed if the file is opened in a newer version of Excel. Learn more: https://go.microsoft.com/fwlink/?linkid=870924
Comment:
    assuming age uncertainty is relatively negligible</t>
      </text>
    </comment>
    <comment ref="AW40" authorId="18" shapeId="0" xr:uid="{AA98C098-99CB-654D-A516-EF4F3B590497}">
      <text>
        <t>[Threaded comment]
Your version of Excel allows you to read this threaded comment; however, any edits to it will get removed if the file is opened in a newer version of Excel. Learn more: https://go.microsoft.com/fwlink/?linkid=870924
Comment:
    For almost all ice samples, this is mean of OSU subsample measurements and std error of those. For ice sample 1, it's the average of melter sample estimates for sample 1 and 11, and the stdev. For firn samples, this is melter sample estimates. See "Air content" sheet as well as discussion in "Notes on 14CO data corrections.xlsx"</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tc={1A8BED26-0A1A-A34D-A42C-57C50BEB07C9}</author>
    <author>tc={8EF8E6C3-E6C0-9D43-8429-2463D950565C}</author>
    <author>tc={1F78693D-2EE4-D648-AD9E-437D49E7AB93}</author>
    <author>tc={63A2EB88-A6AA-404E-AD08-1388A5F7D147}</author>
    <author>tc={FCBE2E78-FA01-D04B-8B18-770E4AE70259}</author>
    <author>tc={5F5EBE16-1EFC-974D-AA10-A912D367A6D0}</author>
    <author>tc={75265FD5-CD28-3E4E-BDA6-FA60B1968140}</author>
    <author>tc={F7D74D1A-4A59-7044-97D5-717205D5FCFC}</author>
    <author>tc={7071D412-104F-FA47-9709-A5CD1BE50DE6}</author>
    <author>tc={08D6EDBF-DC12-9D43-8773-993FE2E62770}</author>
    <author>tc={453F2F43-1941-AD4E-9181-CBDE3CBBB178}</author>
    <author>tc={C452745E-820E-C545-9F59-F8F4D71257BD}</author>
    <author>tc={5C58F3C0-9DD1-BE43-A6EC-CDC35D0EDE6E}</author>
    <author>tc={793298D5-225A-3848-AF75-4F7B545267F9}</author>
    <author>tc={4027F81E-9CBD-5D4A-A998-44137CD2835B}</author>
  </authors>
  <commentList>
    <comment ref="E3" authorId="0" shapeId="0" xr:uid="{1A8BED26-0A1A-A34D-A42C-57C50BEB07C9}">
      <text>
        <t>[Threaded comment]
Your version of Excel allows you to read this threaded comment; however, any edits to it will get removed if the file is opened in a newer version of Excel. Learn more: https://go.microsoft.com/fwlink/?linkid=870924
Comment:
    calculated as the mean of means for OSU samples that fall within the melter sample depth range. See OSU_DomeC_CH4_data.xlsx
Alex confirmed that all subsamples for OSU were taken from the first borehole. So 2nd borehole values are just inferred based on values for those depth ranges from 1st borehole</t>
      </text>
    </comment>
    <comment ref="F3" authorId="1" shapeId="0" xr:uid="{8EF8E6C3-E6C0-9D43-8429-2463D950565C}">
      <text>
        <t>[Threaded comment]
Your version of Excel allows you to read this threaded comment; however, any edits to it will get removed if the file is opened in a newer version of Excel. Learn more: https://go.microsoft.com/fwlink/?linkid=870924
Comment:
    standard error of OSU measurement means</t>
      </text>
    </comment>
    <comment ref="H3" authorId="2" shapeId="0" xr:uid="{1F78693D-2EE4-D648-AD9E-437D49E7AB93}">
      <text>
        <t>[Threaded comment]
Your version of Excel allows you to read this threaded comment; however, any edits to it will get removed if the file is opened in a newer version of Excel. Learn more: https://go.microsoft.com/fwlink/?linkid=870924
Comment:
    calculated as the mean of means for OSU samples that fall within the melter sample depth range. See OSU_DomeC_CH4_data.xlsx
Alex confirmed that all subsamples for OSU were taken from the first borehole. So 2nd borehole values are just inferred based on values for those depth ranges from 1st borehole.
This is approached differently for the shallowest 3 depth levels because of significant fraction of 14CO that is in ice grains. See "Notes on 14CO data corrections.docx"</t>
      </text>
    </comment>
    <comment ref="I3" authorId="3" shapeId="0" xr:uid="{63A2EB88-A6AA-404E-AD08-1388A5F7D147}">
      <text>
        <t>[Threaded comment]
Your version of Excel allows you to read this threaded comment; however, any edits to it will get removed if the file is opened in a newer version of Excel. Learn more: https://go.microsoft.com/fwlink/?linkid=870924
Comment:
    standard error of OSU measurement means</t>
      </text>
    </comment>
    <comment ref="N3" authorId="4" shapeId="0" xr:uid="{FCBE2E78-FA01-D04B-8B18-770E4AE70259}">
      <text>
        <t>[Threaded comment]
Your version of Excel allows you to read this threaded comment; however, any edits to it will get removed if the file is opened in a newer version of Excel. Learn more: https://go.microsoft.com/fwlink/?linkid=870924
Comment:
    See notes on 14CO data correction.docx</t>
      </text>
    </comment>
    <comment ref="P3" authorId="5" shapeId="0" xr:uid="{5F5EBE16-1EFC-974D-AA10-A912D367A6D0}">
      <text>
        <t>[Threaded comment]
Your version of Excel allows you to read this threaded comment; however, any edits to it will get removed if the file is opened in a newer version of Excel. Learn more: https://go.microsoft.com/fwlink/?linkid=870924
Comment:
    See "Notes on 14CO data corrections.docx"</t>
      </text>
    </comment>
    <comment ref="G22" authorId="6" shapeId="0" xr:uid="{75265FD5-CD28-3E4E-BDA6-FA60B1968140}">
      <text>
        <t>[Threaded comment]
Your version of Excel allows you to read this threaded comment; however, any edits to it will get removed if the file is opened in a newer version of Excel. Learn more: https://go.microsoft.com/fwlink/?linkid=870924
Comment:
    Accuracy of the Paroscientific P gauge</t>
      </text>
    </comment>
    <comment ref="K22" authorId="7" shapeId="0" xr:uid="{F7D74D1A-4A59-7044-97D5-717205D5FCFC}">
      <text>
        <t>[Threaded comment]
Your version of Excel allows you to read this threaded comment; however, any edits to it will get removed if the file is opened in a newer version of Excel. Learn more: https://go.microsoft.com/fwlink/?linkid=870924
Comment:
    dominant contribution to error is the uncertainty in downstream volume</t>
      </text>
    </comment>
    <comment ref="N22" authorId="8" shapeId="0" xr:uid="{7071D412-104F-FA47-9709-A5CD1BE50DE6}">
      <text>
        <t>[Threaded comment]
Your version of Excel allows you to read this threaded comment; however, any edits to it will get removed if the file is opened in a newer version of Excel. Learn more: https://go.microsoft.com/fwlink/?linkid=870924
Comment:
    See "Dome C melter gas solubility analyses.xlsx"</t>
      </text>
    </comment>
    <comment ref="J23" authorId="9" shapeId="0" xr:uid="{08D6EDBF-DC12-9D43-8773-993FE2E62770}">
      <text>
        <t>[Threaded comment]
Your version of Excel allows you to read this threaded comment; however, any edits to it will get removed if the file is opened in a newer version of Excel. Learn more: https://go.microsoft.com/fwlink/?linkid=870924
Comment:
    Adding 15 torr to Weiss lab measurement -- this is an approximate amount by which pressure was higher before field Picarro measurement. Assuming 20˚C for overall T in downstream space because N145 pump is warm</t>
      </text>
    </comment>
    <comment ref="K41" authorId="10" shapeId="0" xr:uid="{453F2F43-1941-AD4E-9181-CBDE3CBBB178}">
      <text>
        <t>[Threaded comment]
Your version of Excel allows you to read this threaded comment; however, any edits to it will get removed if the file is opened in a newer version of Excel. Learn more: https://go.microsoft.com/fwlink/?linkid=870924
Comment:
    Basically this is needed because once we start pulling air out of headspace, some gas starts to evade from the water</t>
      </text>
    </comment>
    <comment ref="O41" authorId="11" shapeId="0" xr:uid="{C452745E-820E-C545-9F59-F8F4D71257BD}">
      <text>
        <t>[Threaded comment]
Your version of Excel allows you to read this threaded comment; however, any edits to it will get removed if the file is opened in a newer version of Excel. Learn more: https://go.microsoft.com/fwlink/?linkid=870924
Comment:
    Value determined from LD work</t>
      </text>
    </comment>
    <comment ref="O42" authorId="12" shapeId="0" xr:uid="{5C58F3C0-9DD1-BE43-A6EC-CDC35D0EDE6E}">
      <text>
        <t>[Threaded comment]
Your version of Excel allows you to read this threaded comment; however, any edits to it will get removed if the file is opened in a newer version of Excel. Learn more: https://go.microsoft.com/fwlink/?linkid=870924
Comment:
    doubling the error, because the value is from LD and some of our procedural parameters were different (e.g., transfer time was smaller)</t>
      </text>
    </comment>
    <comment ref="G44" authorId="13" shapeId="0" xr:uid="{793298D5-225A-3848-AF75-4F7B545267F9}">
      <text>
        <t>[Threaded comment]
Your version of Excel allows you to read this threaded comment; however, any edits to it will get removed if the file is opened in a newer version of Excel. Learn more: https://go.microsoft.com/fwlink/?linkid=870924
Comment:
    Error contribution from T is negligible by comparison</t>
      </text>
    </comment>
    <comment ref="A47" authorId="14" shapeId="0" xr:uid="{4027F81E-9CBD-5D4A-A998-44137CD2835B}">
      <text>
        <t>[Threaded comment]
Your version of Excel allows you to read this threaded comment; however, any edits to it will get removed if the file is opened in a newer version of Excel. Learn more: https://go.microsoft.com/fwlink/?linkid=870924
Comment:
    From an email from Restek 6/9/26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tc={5DBE3F5D-2B80-5242-911C-246E52E552EE}</author>
  </authors>
  <commentList>
    <comment ref="F3" authorId="0" shapeId="0" xr:uid="{5DBE3F5D-2B80-5242-911C-246E52E552EE}">
      <text>
        <t>[Threaded comment]
Your version of Excel allows you to read this threaded comment; however, any edits to it will get removed if the file is opened in a newer version of Excel. Learn more: https://go.microsoft.com/fwlink/?linkid=870924
Comment:
    From OSU CH4-matching age scale</t>
      </text>
    </comment>
  </commentList>
</comments>
</file>

<file path=xl/sharedStrings.xml><?xml version="1.0" encoding="utf-8"?>
<sst xmlns="http://schemas.openxmlformats.org/spreadsheetml/2006/main" count="442" uniqueCount="271">
  <si>
    <t>%Error after ANSTO correction</t>
  </si>
  <si>
    <t>Error</t>
  </si>
  <si>
    <t>14C true</t>
  </si>
  <si>
    <t>14Cmeas/b</t>
  </si>
  <si>
    <t>Sample and blank values prior to this correction</t>
  </si>
  <si>
    <t>Samples and Blanks</t>
  </si>
  <si>
    <t>Then 14C true = 14Cmeas/b - c</t>
  </si>
  <si>
    <t>c = a/b</t>
  </si>
  <si>
    <t>b</t>
  </si>
  <si>
    <t>a</t>
  </si>
  <si>
    <t>1 sigma error</t>
  </si>
  <si>
    <t>value</t>
  </si>
  <si>
    <t>14Cmeas = a + b * 14C true</t>
  </si>
  <si>
    <t>14C True Error</t>
  </si>
  <si>
    <t>14C true, pMC</t>
  </si>
  <si>
    <t>14C Meas Error</t>
  </si>
  <si>
    <t>14C meas, pMC</t>
  </si>
  <si>
    <t>Standard</t>
  </si>
  <si>
    <t>OX1 30ug1</t>
  </si>
  <si>
    <t>OX1 30ug 2</t>
  </si>
  <si>
    <t>high scatter for OX1's; no obvious anaytical issues on ANSTO side</t>
  </si>
  <si>
    <t>C7 30ug1</t>
  </si>
  <si>
    <t>C7 30ug2</t>
  </si>
  <si>
    <t>C8 30ug 1</t>
  </si>
  <si>
    <t>C8 30ug 2</t>
  </si>
  <si>
    <t>Updated June 6, 2026</t>
  </si>
  <si>
    <t>ANSTO-generated commensurately sized standard and blank results. From R620 analysis</t>
  </si>
  <si>
    <t>Blk 30ug 1</t>
  </si>
  <si>
    <t>Blk 30ug 2</t>
  </si>
  <si>
    <t>Blk 30ug 3</t>
  </si>
  <si>
    <t>Blk 30ug 4</t>
  </si>
  <si>
    <t>From linear curve fit analysis in Igor, -- in "R620 Dome C 14CO empir corr 6Jun2026.pxp"</t>
  </si>
  <si>
    <t>14CO_DIRECT_FILL_WITH_14C_MODERN_STANDARD</t>
  </si>
  <si>
    <t>14CO_UR_DC_WATER_BLANK_2</t>
  </si>
  <si>
    <t>14CO_UR_DC_ICE_SAMPLE_10</t>
  </si>
  <si>
    <t>14CO_UR_DC_ICE_SAMPLE_6</t>
  </si>
  <si>
    <t>14CO_UR_DC_ICE_SAMPLE_13</t>
  </si>
  <si>
    <t>14CO_UR_DC_FIRN_EXTRACTION_3</t>
  </si>
  <si>
    <t>14CO_UR_DC_WATER_BLANK_4B</t>
  </si>
  <si>
    <t>14CO_UR_DC_ICE_SAMPLE_8</t>
  </si>
  <si>
    <t>14CO_UR_DC_FIRN_SAMPLE_1</t>
  </si>
  <si>
    <t>14CO_UR_DC_ICE_SAMPLE_11</t>
  </si>
  <si>
    <t>14CO_UR_DC_WATER_BLANK_1</t>
  </si>
  <si>
    <t>14CO_UR_DC_ICE_SAMPLE_1</t>
  </si>
  <si>
    <t>14CO_UR_DC_ICE_SAMPLE_9</t>
  </si>
  <si>
    <t>14CO_UR_DC_ICE_SAMPLE_3</t>
  </si>
  <si>
    <t>14CO_UR_DC_ICE_SAMPLE_12</t>
  </si>
  <si>
    <t>14CO_UR_DC_ICE_SAMPLE_4</t>
  </si>
  <si>
    <t>14CO_UR_DC_WATER_BLANK_3</t>
  </si>
  <si>
    <t>14CO_UR_DC_ICE_SAMPLE_7</t>
  </si>
  <si>
    <t>14CO_UR_DC_ICE_SAMPLE_2</t>
  </si>
  <si>
    <t>14CO_UR_DC_FIRN_SAMPLE_2</t>
  </si>
  <si>
    <t>14CO_UR_DC_ICE_SAMPLE_5</t>
  </si>
  <si>
    <t>14CO_UR_DC_WATER_BLANK_5</t>
  </si>
  <si>
    <t>14CO_UR_DC_ICE_SAMPLE_14</t>
  </si>
  <si>
    <t>14CO_UR_DC_10_PPM_CO_STD_1</t>
  </si>
  <si>
    <t>14CO_UR_DC_10_PPM_CO_STD_2</t>
  </si>
  <si>
    <t>14C decay constant</t>
  </si>
  <si>
    <t>14CO molecules per cc STP further corrected for air dilution</t>
  </si>
  <si>
    <t>Air dilution factor</t>
  </si>
  <si>
    <t>14CO molecules per cc STP in diluted tanks corrected for 14CO from 10 ppm tank</t>
  </si>
  <si>
    <t>14CO molecules per cc in diluted tanks due to 10 ppm std</t>
  </si>
  <si>
    <t>[CO] in diluted tanks that is due to 10 ppm gas only</t>
  </si>
  <si>
    <t>14CO molecules per cc STP in diluted tanks</t>
  </si>
  <si>
    <t>Final [CO] in diluted sample, ppb</t>
  </si>
  <si>
    <t>Dilution factor for CO carbon</t>
  </si>
  <si>
    <t>[CO]f*Pf = [CO]sa*Psa + [CO]std*Pstd</t>
  </si>
  <si>
    <t>[CO]std*Pstd</t>
  </si>
  <si>
    <t>[CO] sample * P sample</t>
  </si>
  <si>
    <t>fraction of CO from std</t>
  </si>
  <si>
    <t>Sample</t>
  </si>
  <si>
    <t>10 ppm CO average / true 14C</t>
  </si>
  <si>
    <t>Notes / problems</t>
  </si>
  <si>
    <t>Pressure due to standard, torr</t>
  </si>
  <si>
    <t>Final pressure corrected to initial tank temp, torr</t>
  </si>
  <si>
    <t>Avg T tank after dilution, K</t>
  </si>
  <si>
    <t>Avg T tank after dilution, ˚C</t>
  </si>
  <si>
    <t>Final pressure afetr dilution, torr</t>
  </si>
  <si>
    <t>Avg T of tank before dilution, K</t>
  </si>
  <si>
    <t>Avg T of Tank before dilution, C</t>
  </si>
  <si>
    <t>Pressure before dilution, torr</t>
  </si>
  <si>
    <t>[CO] in sample prior to dilution</t>
  </si>
  <si>
    <t>d13CO after dilution</t>
  </si>
  <si>
    <t>SAMPLE DATA</t>
  </si>
  <si>
    <t>Pressure gauge accuracy (fractional) for dilutions</t>
  </si>
  <si>
    <t>Results are from ANSTO R620 analysis</t>
  </si>
  <si>
    <t>Note: sample names and 14C values are linked to the "Empirical ANSTO blank corr" worksheet</t>
  </si>
  <si>
    <t>14CO in diluted samples corrected for d13C, true pMC</t>
  </si>
  <si>
    <t>14CO after ANSTO empirical correction, pMC</t>
  </si>
  <si>
    <t>DRY INJ EXT BLK</t>
  </si>
  <si>
    <t>HOT-DRY BLK</t>
  </si>
  <si>
    <t>Average of water blanks run through sofnocat</t>
  </si>
  <si>
    <t>stdev</t>
  </si>
  <si>
    <t>14CO molecules per cc corrected for avg water blank</t>
  </si>
  <si>
    <t>Air content, cc STP/g</t>
  </si>
  <si>
    <t>14CO molecules / g ice</t>
  </si>
  <si>
    <t>Mean depth, m</t>
  </si>
  <si>
    <t>target fell out of cathode during ANTARES measurement; low current</t>
  </si>
  <si>
    <t>Last updated June 8 2026</t>
  </si>
  <si>
    <t>Columns with headings highlighted in yellow still need to be finalized</t>
  </si>
  <si>
    <t>Updated June 8, 2026</t>
  </si>
  <si>
    <t>OX2 30ug1</t>
  </si>
  <si>
    <t>OX2 30ug2</t>
  </si>
  <si>
    <t>The OX2s are from wheel 4</t>
  </si>
  <si>
    <t>Wheel 2 standards only</t>
  </si>
  <si>
    <t>Wheel 2 stds + OX2 from wheel 4</t>
  </si>
  <si>
    <t>Things highlighted in yellow may adjust / need finalizing</t>
  </si>
  <si>
    <t>Mean 14C true value, pMC</t>
  </si>
  <si>
    <t>% Error</t>
  </si>
  <si>
    <t>Two versions of the correction are made: including only stds measured in wheel 2 or also including the 30 µg OX2s that were measured in wheel 4</t>
  </si>
  <si>
    <t>THIS VERSION NOT CURRENTLY BEING USED</t>
  </si>
  <si>
    <t>Air content from OSU measurements on small subsamples</t>
  </si>
  <si>
    <t>Sample Name</t>
  </si>
  <si>
    <t>Mean air content, cc STP / g</t>
  </si>
  <si>
    <t>Top depth, m</t>
  </si>
  <si>
    <t>Bottom depth, m</t>
  </si>
  <si>
    <t>Air content from our measurements on large-volume samples</t>
  </si>
  <si>
    <t>Weiss lab T (deg C)</t>
  </si>
  <si>
    <t>T (K)</t>
  </si>
  <si>
    <t>Weiss lab P (psia)</t>
  </si>
  <si>
    <t>L STP air in sample</t>
  </si>
  <si>
    <t>Fraction of air dissolved in water, predicted from solubility</t>
  </si>
  <si>
    <t>Fraction of air left behind in melter</t>
  </si>
  <si>
    <t>Total air extracted further corrected for fraction left in melter, L STP</t>
  </si>
  <si>
    <t>Correction for fraction of air left behind</t>
  </si>
  <si>
    <t>Expansion pressure, torr</t>
  </si>
  <si>
    <t>Expansion volume, cc</t>
  </si>
  <si>
    <t>Air lost by expansions, cc</t>
  </si>
  <si>
    <t>Amount of air lost by flow, sccm</t>
  </si>
  <si>
    <t>Total air lost</t>
  </si>
  <si>
    <t>UR DC Firn Sample 1</t>
  </si>
  <si>
    <t>UR DC Firn Sample 2</t>
  </si>
  <si>
    <t>UR DC Firn Sample 3</t>
  </si>
  <si>
    <t>UR DC Ice Sample 1</t>
  </si>
  <si>
    <t>UR DC Ice Sample 2</t>
  </si>
  <si>
    <t>UR DC Ice Sample 3</t>
  </si>
  <si>
    <t>UR DC Ice Sample 4</t>
  </si>
  <si>
    <t>UR DC Ice Sample 5</t>
  </si>
  <si>
    <t xml:space="preserve">UR DC Ice Sample 6 </t>
  </si>
  <si>
    <t>UR DC Ice Sample 7</t>
  </si>
  <si>
    <t>UR DC Ice Sample 8</t>
  </si>
  <si>
    <t>UR DC Ice Sample 9</t>
  </si>
  <si>
    <t>UR DC Ice Sample 10</t>
  </si>
  <si>
    <t>UR DC Ice Sample 11</t>
  </si>
  <si>
    <t>UR DC Ice Sample 12</t>
  </si>
  <si>
    <t>UR DC Ice Sample 13</t>
  </si>
  <si>
    <t>UR DC Ice Sample 14</t>
  </si>
  <si>
    <t>Error, K</t>
  </si>
  <si>
    <t>Air lost to Picarro measurents</t>
  </si>
  <si>
    <t>Ice and Firn samples</t>
  </si>
  <si>
    <t>Weiss Lab P (torr)</t>
  </si>
  <si>
    <t>Air lost by leaving remaining air in downstr manifold, cc STP</t>
  </si>
  <si>
    <t>L STP in air sample corrected for loss to downstream manifold and Picarro</t>
  </si>
  <si>
    <t>Water level, cm below upper surface of lower flange</t>
  </si>
  <si>
    <t>Water mass, kg</t>
  </si>
  <si>
    <t>Air content, cc STP /g</t>
  </si>
  <si>
    <t>Avg ice samples 1 - 4</t>
  </si>
  <si>
    <t>Avg samples 11 - 14</t>
  </si>
  <si>
    <t>Silcocan parameters</t>
  </si>
  <si>
    <t>minimum volume</t>
  </si>
  <si>
    <t>max volume</t>
  </si>
  <si>
    <t>cc's</t>
  </si>
  <si>
    <t>mid-range</t>
  </si>
  <si>
    <t>Mid-depth</t>
  </si>
  <si>
    <t>Sicocan or tank number</t>
  </si>
  <si>
    <t>UR-S12</t>
  </si>
  <si>
    <t>UR-S14</t>
  </si>
  <si>
    <t>UR-S08</t>
  </si>
  <si>
    <t>UR-S13</t>
  </si>
  <si>
    <t>UR-S03</t>
  </si>
  <si>
    <t>UR-S23</t>
  </si>
  <si>
    <t>UR-S19</t>
  </si>
  <si>
    <t>UR-S16</t>
  </si>
  <si>
    <t>UR-S02</t>
  </si>
  <si>
    <t>UR-S11</t>
  </si>
  <si>
    <t>UR-S06</t>
  </si>
  <si>
    <t>UR-S10</t>
  </si>
  <si>
    <t>UR-S22</t>
  </si>
  <si>
    <t>UR-S20</t>
  </si>
  <si>
    <t>UR-S04</t>
  </si>
  <si>
    <t>UR-S15</t>
  </si>
  <si>
    <t>UR-S09</t>
  </si>
  <si>
    <t>UR-S21</t>
  </si>
  <si>
    <t>UR-S17</t>
  </si>
  <si>
    <t>UR-S18</t>
  </si>
  <si>
    <t>UR-S07</t>
  </si>
  <si>
    <t>UR-S01</t>
  </si>
  <si>
    <t>UR-S05</t>
  </si>
  <si>
    <t>UR-S24</t>
  </si>
  <si>
    <t>UR-S25</t>
  </si>
  <si>
    <t>The line between H1 and SilcoCan was exposed to high CO (4.5 ppm) overnight from a opened Essex tank. Flush-evacuated three times before leak check</t>
  </si>
  <si>
    <t>Put trap 8 dewar on trap 7 and vice versa</t>
  </si>
  <si>
    <t xml:space="preserve">Forgot to close K16 @ end of downstream leak check before KNF leak check. Quickly saw problem, closed k16, re-evacuated downstream after leack check. Rechecked KNF pump leak ctest after closing H. 0:00 0.47 torr, 1:00 1.380 torr, 2:00 2.234 torr, 3:00 3.128 torr. Forgot to top off russian doll traps before switching to sample. Topped off after starting sample collection. </t>
  </si>
  <si>
    <t xml:space="preserve">Paused breifley before tranasfer to recolleciton can to disucss what P to fill to. Turned off KNFs after transfer. </t>
  </si>
  <si>
    <t>Redoing KNF pump leak check--valve H Is closed. 0:00 0.047 torr, 1:00 1.464 torr, 2:00 2.430 torr, 3:00 3.498 torr. While pouring LN2 during start of sample collection, dewar on trap 7 slipped. Securing/repositioning it delayed pouring LN2 on trap 8 by about 5 seconds.</t>
  </si>
  <si>
    <t xml:space="preserve">4BK valve might not have been fully closed during KNF leak check. Redo. 0:00 0.051 torr 1:00 1.459 torr 2:00 2.350 torr 3:00 3.267 torr. During flamesealing, LN2 dewar too hight. Struggled to pull sample tube away from flame tube. Also, 3 finger clamp not tight enough. </t>
  </si>
  <si>
    <t>Upstream leak check: H complex was initially at 4 torr. Hiar dryer wouldn't turn on during 1st transfer, despite testing beforehand/resetting. Moved dryer to different outlet, which worked. Delayed heating cils with hair dryer ~30 seconds.</t>
  </si>
  <si>
    <t>Forgot to record exact time trap 8 stopped boiling. Recorded estimated time.</t>
  </si>
  <si>
    <t>Forgot to close 4H to KNFs before starting evacuation of recollection silcocan. Quickly closed 4H, evacutated silcocan for 30 minutes.</t>
  </si>
  <si>
    <t xml:space="preserve">Forgot to close K16 and K13 at end of colleciton step. Did transfer to recollection can with K16 and K13 open. At end of transfer step, saw I had left them open when I went to reopen K13 and K16 to evacuate downstream at the end of recollection transfer step. Closed K13 and K16, called Aparajeo and Vas to discuss. We decided the sample was likely ok, so I continued as-normal. The normal yield on this sample looks like the sample was likley OK. </t>
  </si>
  <si>
    <t>~2 minutes before switching from UHP flush to sample, saw that the sharpie line on the trap 8 dewar wasn't visible. We decided to let the UHP flush run long while we made a new sharpie line. After drying the trap and before remarking the line, we saw the line was in fact visibile. Was blocked by some liquid water. Made sharpie line more visible. Also, sharpie lines on dewars 7 and 8 are at different heights--consider standardizing in future.</t>
  </si>
  <si>
    <t>KNFs failed leak check (~1.3 torr/min). Turned off KNFs, retightened all fittings, turned KNFs on again, let them run for ~40 mintues. Leak rate improved to ~1.1 torr/minute. We decided that was good enough, as it is far below our calculated limit.</t>
  </si>
  <si>
    <t>Repeating KNF pump leak test with H closed: 0:00 0.056 torr, 1:00 1.621 torr, 2:00 2.699 torr, 3:00 3.812 torr.</t>
  </si>
  <si>
    <t>Avg of borehole 1 ice samples</t>
  </si>
  <si>
    <t>Avg of ice samples 1 and 11</t>
  </si>
  <si>
    <t>Blank Name</t>
  </si>
  <si>
    <t>Date collected</t>
  </si>
  <si>
    <t>Field CO, ppb</t>
  </si>
  <si>
    <t>Lab CO, ppb</t>
  </si>
  <si>
    <t>Dissolution correction factor</t>
  </si>
  <si>
    <t>14CO molecules per cc STP further corrected for dissolution</t>
  </si>
  <si>
    <t>14CO after all corrections, molecules / cc STP</t>
  </si>
  <si>
    <t>UR DC Water Blank 1</t>
  </si>
  <si>
    <t>UR DC Water Blank 3</t>
  </si>
  <si>
    <t>UR DC Water Blank 4B</t>
  </si>
  <si>
    <t>UR DC Water Blank 5</t>
  </si>
  <si>
    <t>Looks like either a calibration offset between field and lab measurements, or slow consistent growth of CO in Silcocans over the ≈10 months of storage</t>
  </si>
  <si>
    <t>But this was a solar maximum, so perhaps production rates were lower</t>
  </si>
  <si>
    <t xml:space="preserve">It is also possible that more in situ 14CO in canisters from earlier part of season is offset by </t>
  </si>
  <si>
    <t>14CO contribution from the higher CO blank (by ≈20 ppb) in the later part of the season</t>
  </si>
  <si>
    <t>ppb</t>
  </si>
  <si>
    <t>pMC</t>
  </si>
  <si>
    <t>CO blank difference between late and early season</t>
  </si>
  <si>
    <t>Assumed activity of this CO</t>
  </si>
  <si>
    <t>Then resulting extra 14CO</t>
  </si>
  <si>
    <t>molecules / cc STP</t>
  </si>
  <si>
    <t>This seems plausible based on the calculation below</t>
  </si>
  <si>
    <t>No consistent trend in 14CO over time, which is a bit suprising given what we saw at Summit and Law Dome</t>
  </si>
  <si>
    <t>Considering all of the above, as well as the relatively negligible difference this effect would make for samples (which are mostly &gt; 300 molecules / cc STP)</t>
  </si>
  <si>
    <t>it makes sense to correct for the water blanks using a simple average of their values</t>
  </si>
  <si>
    <t>Estimating 14C activity of CO from hot melter walls</t>
  </si>
  <si>
    <t>Field measured CO, ppb</t>
  </si>
  <si>
    <t>Lab measured CO, ppb</t>
  </si>
  <si>
    <t>14CO, molcules / cc STP</t>
  </si>
  <si>
    <t>CO added from hot melter walls</t>
  </si>
  <si>
    <t>14CO added from hot melter walls</t>
  </si>
  <si>
    <t>inferred pMC of hot melter wall CO</t>
  </si>
  <si>
    <t>assumed d13C of melter wall CO</t>
  </si>
  <si>
    <t>per mil</t>
  </si>
  <si>
    <t>yr^-1</t>
  </si>
  <si>
    <t>Previous estimate from experiments Peter ran:</t>
  </si>
  <si>
    <t>48.8 ± 12 pMC</t>
  </si>
  <si>
    <t>So perhaps this has changed a bit, although estimates almost agree within 1 sigma error</t>
  </si>
  <si>
    <t>Extraneous [CO] expected based on water blanks, ppb</t>
  </si>
  <si>
    <t>Expected [CO] in ice, ppb</t>
  </si>
  <si>
    <t>Early-season avg</t>
  </si>
  <si>
    <t>Late-season avg</t>
  </si>
  <si>
    <t>"Other" extraneous CO in samples, ppb</t>
  </si>
  <si>
    <t>pMC of this extra CO</t>
  </si>
  <si>
    <t>14CO contribution from this extra CO contamination, molecules / cc STP</t>
  </si>
  <si>
    <t>14CO further corrected for this extraneous CO, molecules / cc STP</t>
  </si>
  <si>
    <t>Error (1-sigma)</t>
  </si>
  <si>
    <t>Relative 1-sigma error, %</t>
  </si>
  <si>
    <t>I am actually not using this estimate for anything, because in the end our extraneous [CO] amounts are too erratic to be explained</t>
  </si>
  <si>
    <t>by hot melter blank -- likely a large contribution from some external contaminant</t>
  </si>
  <si>
    <t>avg</t>
  </si>
  <si>
    <t>Sample 14CO further corrected for atmospheric 14CO, molecules/ cc STP</t>
  </si>
  <si>
    <t>Error, 1 sigma</t>
  </si>
  <si>
    <t>Final values to use for 14CO content calculations</t>
  </si>
  <si>
    <t>Estimates of air content for shallow samples</t>
  </si>
  <si>
    <t>Fraction of 14CO in ice grains</t>
  </si>
  <si>
    <t>Air content estimate</t>
  </si>
  <si>
    <t>Borehole 1</t>
  </si>
  <si>
    <t>Borehole 2</t>
  </si>
  <si>
    <t>110 m average value</t>
  </si>
  <si>
    <t>Mean gas age, yr before 1950</t>
  </si>
  <si>
    <t>Mean gas age, Years before measurement date</t>
  </si>
  <si>
    <t>Gas age, yrs before measurement date</t>
  </si>
  <si>
    <t>Atmospheric 14CO originally trapped in sample ice, molecules / cc STP</t>
  </si>
  <si>
    <t>Atmospheric 14CO after decay, molecules/cc STP</t>
  </si>
  <si>
    <t>14CO, molec / g ice after all corrections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</si>
</sst>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2">
    <font>
      <sz val="12"/>
      <color theme="1"/>
      <name val="Aptos Narrow"/>
      <family val="2"/>
      <scheme val="minor"/>
    </font>
    <font>
      <sz val="12"/>
      <color theme="1"/>
      <name val="Aptos Narrow"/>
      <family val="2"/>
      <scheme val="minor"/>
    </font>
    <font>
      <sz val="12"/>
      <color rgb="FFFF0000"/>
      <name val="Aptos Narrow"/>
      <family val="2"/>
      <scheme val="minor"/>
    </font>
    <font>
      <sz val="12"/>
      <color rgb="FF0000FF"/>
      <name val="Aptos Narrow"/>
      <family val="2"/>
      <scheme val="minor"/>
    </font>
    <font>
      <sz val="12"/>
      <name val="Aptos Narrow"/>
      <family val="2"/>
      <scheme val="minor"/>
    </font>
    <font>
      <b/>
      <sz val="12"/>
      <name val="Aptos Narrow"/>
      <family val="2"/>
      <scheme val="minor"/>
    </font>
    <font>
      <sz val="12"/>
      <color theme="1"/>
      <name val="Calibri (Body)"/>
    </font>
    <font>
      <sz val="10"/>
      <color rgb="FF000000"/>
      <name val="Tahoma"/>
      <family val="2"/>
    </font>
    <font>
      <b/>
      <sz val="9"/>
      <color rgb="FF000000"/>
      <name val="Calibri"/>
      <family val="2"/>
    </font>
    <font>
      <sz val="9"/>
      <color rgb="FF000000"/>
      <name val="Calibri"/>
      <family val="2"/>
    </font>
    <font>
      <sz val="10"/>
      <name val="Verdana"/>
      <family val="2"/>
    </font>
    <font>
      <sz val="10"/>
      <color rgb="FF0000FF"/>
      <name val="Verdana"/>
      <family val="2"/>
    </font>
    <font>
      <sz val="10"/>
      <color rgb="FF0070C0"/>
      <name val="Verdana"/>
      <family val="2"/>
    </font>
    <font>
      <sz val="12"/>
      <color rgb="FF0070C0"/>
      <name val="Aptos Narrow"/>
      <family val="2"/>
      <scheme val="minor"/>
    </font>
    <font>
      <sz val="10"/>
      <color theme="1"/>
      <name val="Verdana"/>
      <family val="2"/>
    </font>
    <font>
      <b/>
      <sz val="10"/>
      <color theme="1"/>
      <name val="Verdana"/>
      <family val="2"/>
    </font>
    <font>
      <sz val="10"/>
      <name val="Arial"/>
      <family val="2"/>
    </font>
    <font>
      <sz val="10"/>
      <color rgb="FFFF0000"/>
      <name val="Verdana"/>
      <family val="2"/>
    </font>
    <font>
      <b/>
      <sz val="10"/>
      <color rgb="FF0070C0"/>
      <name val="Verdana"/>
      <family val="2"/>
    </font>
    <font>
      <b/>
      <sz val="9"/>
      <color rgb="FF000000"/>
      <name val="Verdana"/>
      <family val="2"/>
    </font>
    <font>
      <sz val="9"/>
      <color rgb="FF000000"/>
      <name val="Verdana"/>
      <family val="2"/>
    </font>
    <font>
      <sz val="12"/>
      <name val="Aptos Narrow"/>
      <scheme val="minor"/>
    </font>
    <font>
      <b/>
      <sz val="12"/>
      <name val="Aptos Narrow"/>
      <scheme val="minor"/>
    </font>
    <font>
      <sz val="8"/>
      <name val="Aptos Narrow"/>
      <family val="2"/>
      <scheme val="minor"/>
    </font>
    <font>
      <i/>
      <sz val="12"/>
      <color theme="1"/>
      <name val="Aptos Narrow"/>
      <scheme val="minor"/>
    </font>
    <font>
      <b/>
      <sz val="10"/>
      <name val="Verdana"/>
      <family val="2"/>
    </font>
    <font>
      <b/>
      <sz val="10"/>
      <color rgb="FF000000"/>
      <name val="Calibri"/>
      <family val="2"/>
    </font>
    <font>
      <sz val="12"/>
      <color rgb="FF000000"/>
      <name val="Calibri"/>
      <family val="2"/>
    </font>
    <font>
      <sz val="12"/>
      <name val="Calibri"/>
      <family val="2"/>
    </font>
    <font>
      <b/>
      <sz val="12"/>
      <color rgb="FF000000"/>
      <name val="Calibri"/>
      <family val="2"/>
    </font>
    <font>
      <b/>
      <sz val="12"/>
      <color theme="1"/>
      <name val="Aptos Narrow"/>
      <scheme val="minor"/>
    </font>
    <font>
      <sz val="8"/>
      <color theme="1"/>
      <name val="Arial"/>
      <family val="2"/>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8">
    <border>
      <left/>
      <right/>
      <top/>
      <bottom/>
      <diagonal/>
    </border>
    <border>
      <left/>
      <right/>
      <top style="medium">
        <color auto="1"/>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s>
  <cellStyleXfs count="4">
    <xf numFmtId="0" fontId="0" fillId="0" borderId="0"/>
    <xf numFmtId="0" fontId="10" fillId="0" borderId="0"/>
    <xf numFmtId="0" fontId="16" fillId="0" borderId="0"/>
    <xf numFmtId="0" fontId="10" fillId="0" borderId="0"/>
  </cellStyleXfs>
  <cellXfs count="70">
    <xf numFmtId="0" fontId="0" fillId="0" borderId="0" xfId="0"/>
    <xf numFmtId="0" fontId="3" fillId="0" borderId="0" xfId="0" applyFont="1"/>
    <xf numFmtId="0" fontId="0" fillId="2" borderId="0" xfId="0" applyFill="1" applyAlignment="1">
      <alignment horizontal="left"/>
    </xf>
    <xf numFmtId="0" fontId="4" fillId="0" borderId="0" xfId="0" applyFont="1"/>
    <xf numFmtId="0" fontId="5" fillId="0" borderId="0" xfId="0" applyFont="1"/>
    <xf numFmtId="0" fontId="0" fillId="2" borderId="1" xfId="0" applyFill="1" applyBorder="1" applyAlignment="1">
      <alignment horizontal="left"/>
    </xf>
    <xf numFmtId="0" fontId="0" fillId="0" borderId="0" xfId="0" applyAlignment="1">
      <alignment wrapText="1"/>
    </xf>
    <xf numFmtId="0" fontId="4" fillId="0" borderId="0" xfId="0" applyFont="1" applyAlignment="1">
      <alignment wrapText="1"/>
    </xf>
    <xf numFmtId="2" fontId="3" fillId="0" borderId="0" xfId="0" applyNumberFormat="1" applyFont="1"/>
    <xf numFmtId="15" fontId="3" fillId="0" borderId="0" xfId="0" applyNumberFormat="1" applyFont="1"/>
    <xf numFmtId="0" fontId="0" fillId="3" borderId="0" xfId="0" applyFill="1" applyAlignment="1">
      <alignment horizontal="left"/>
    </xf>
    <xf numFmtId="2" fontId="4" fillId="0" borderId="0" xfId="0" applyNumberFormat="1" applyFont="1"/>
    <xf numFmtId="0" fontId="0" fillId="3" borderId="1" xfId="0" applyFill="1" applyBorder="1" applyAlignment="1">
      <alignment horizontal="left"/>
    </xf>
    <xf numFmtId="0" fontId="0" fillId="4" borderId="2" xfId="0" applyFill="1" applyBorder="1" applyAlignment="1">
      <alignment horizontal="left"/>
    </xf>
    <xf numFmtId="0" fontId="0" fillId="4" borderId="1" xfId="0" applyFill="1" applyBorder="1" applyAlignment="1">
      <alignment horizontal="left"/>
    </xf>
    <xf numFmtId="0" fontId="0" fillId="5" borderId="2" xfId="0" applyFill="1" applyBorder="1" applyAlignment="1">
      <alignment horizontal="left"/>
    </xf>
    <xf numFmtId="0" fontId="0" fillId="5" borderId="1" xfId="0" applyFill="1" applyBorder="1" applyAlignment="1">
      <alignment horizontal="left"/>
    </xf>
    <xf numFmtId="0" fontId="0" fillId="6" borderId="2" xfId="0" applyFill="1" applyBorder="1" applyAlignment="1">
      <alignment horizontal="left"/>
    </xf>
    <xf numFmtId="0" fontId="0" fillId="6" borderId="1" xfId="0" applyFill="1" applyBorder="1" applyAlignment="1">
      <alignment horizontal="left"/>
    </xf>
    <xf numFmtId="0" fontId="5" fillId="0" borderId="0" xfId="0" applyFont="1" applyAlignment="1">
      <alignment wrapText="1"/>
    </xf>
    <xf numFmtId="15" fontId="5" fillId="0" borderId="0" xfId="0" applyNumberFormat="1" applyFont="1" applyAlignment="1">
      <alignment wrapText="1"/>
    </xf>
    <xf numFmtId="15" fontId="4" fillId="0" borderId="0" xfId="0" applyNumberFormat="1" applyFont="1"/>
    <xf numFmtId="0" fontId="6" fillId="0" borderId="0" xfId="0" applyFont="1"/>
    <xf numFmtId="0" fontId="2" fillId="2" borderId="0" xfId="0" applyFont="1" applyFill="1" applyAlignment="1">
      <alignment horizontal="left"/>
    </xf>
    <xf numFmtId="0" fontId="2" fillId="0" borderId="0" xfId="0" applyFont="1"/>
    <xf numFmtId="0" fontId="10" fillId="0" borderId="0" xfId="1"/>
    <xf numFmtId="0" fontId="11" fillId="0" borderId="0" xfId="1" applyFont="1"/>
    <xf numFmtId="0" fontId="12" fillId="0" borderId="0" xfId="1" applyFont="1"/>
    <xf numFmtId="0" fontId="13" fillId="0" borderId="0" xfId="0" applyFont="1"/>
    <xf numFmtId="0" fontId="14" fillId="0" borderId="0" xfId="1" applyFont="1"/>
    <xf numFmtId="0" fontId="15" fillId="0" borderId="0" xfId="1" applyFont="1" applyAlignment="1">
      <alignment wrapText="1"/>
    </xf>
    <xf numFmtId="0" fontId="1" fillId="0" borderId="0" xfId="0" applyFont="1"/>
    <xf numFmtId="0" fontId="15" fillId="0" borderId="0" xfId="0" applyFont="1" applyAlignment="1">
      <alignment wrapText="1"/>
    </xf>
    <xf numFmtId="2" fontId="0" fillId="0" borderId="0" xfId="0" applyNumberFormat="1" applyAlignment="1">
      <alignment horizontal="center"/>
    </xf>
    <xf numFmtId="0" fontId="17" fillId="0" borderId="0" xfId="1" applyFont="1"/>
    <xf numFmtId="0" fontId="18" fillId="0" borderId="0" xfId="1" applyFont="1"/>
    <xf numFmtId="0" fontId="2" fillId="2" borderId="1" xfId="0" applyFont="1" applyFill="1" applyBorder="1" applyAlignment="1">
      <alignment horizontal="left"/>
    </xf>
    <xf numFmtId="2" fontId="2" fillId="0" borderId="0" xfId="0" applyNumberFormat="1" applyFont="1" applyAlignment="1">
      <alignment horizontal="center"/>
    </xf>
    <xf numFmtId="0" fontId="18" fillId="0" borderId="0" xfId="1" applyFont="1" applyAlignment="1">
      <alignment wrapText="1"/>
    </xf>
    <xf numFmtId="0" fontId="2" fillId="0" borderId="3" xfId="0" applyFont="1" applyBorder="1"/>
    <xf numFmtId="0" fontId="1" fillId="2" borderId="1" xfId="0" applyFont="1" applyFill="1" applyBorder="1" applyAlignment="1">
      <alignment horizontal="left"/>
    </xf>
    <xf numFmtId="15" fontId="21" fillId="0" borderId="0" xfId="0" applyNumberFormat="1" applyFont="1" applyAlignment="1">
      <alignment wrapText="1"/>
    </xf>
    <xf numFmtId="0" fontId="21" fillId="0" borderId="0" xfId="0" applyFont="1" applyAlignment="1">
      <alignment wrapText="1"/>
    </xf>
    <xf numFmtId="0" fontId="24" fillId="0" borderId="0" xfId="0" applyFont="1"/>
    <xf numFmtId="0" fontId="25" fillId="0" borderId="0" xfId="0" applyFont="1" applyAlignment="1">
      <alignment wrapText="1"/>
    </xf>
    <xf numFmtId="165" fontId="26" fillId="0" borderId="3" xfId="0" applyNumberFormat="1" applyFont="1" applyBorder="1" applyAlignment="1">
      <alignment horizontal="center" vertical="center" wrapText="1"/>
    </xf>
    <xf numFmtId="165" fontId="26" fillId="0" borderId="0" xfId="0" applyNumberFormat="1" applyFont="1" applyAlignment="1">
      <alignment horizontal="center" vertical="center" wrapText="1"/>
    </xf>
    <xf numFmtId="0" fontId="27" fillId="0" borderId="0" xfId="0" applyFont="1" applyAlignment="1">
      <alignment wrapText="1"/>
    </xf>
    <xf numFmtId="164" fontId="26" fillId="0" borderId="3" xfId="0" applyNumberFormat="1" applyFont="1" applyBorder="1" applyAlignment="1">
      <alignment horizontal="center" vertical="center" wrapText="1"/>
    </xf>
    <xf numFmtId="0" fontId="28" fillId="0" borderId="0" xfId="0" applyFont="1" applyAlignment="1">
      <alignment horizontal="left"/>
    </xf>
    <xf numFmtId="0" fontId="27" fillId="0" borderId="0" xfId="0" applyFont="1"/>
    <xf numFmtId="0" fontId="29" fillId="0" borderId="0" xfId="0" applyFont="1"/>
    <xf numFmtId="0" fontId="29" fillId="0" borderId="0" xfId="0" applyFont="1" applyAlignment="1">
      <alignment wrapText="1"/>
    </xf>
    <xf numFmtId="0" fontId="30" fillId="0" borderId="0" xfId="0" applyFont="1"/>
    <xf numFmtId="0" fontId="0" fillId="0" borderId="3" xfId="0" applyBorder="1"/>
    <xf numFmtId="0" fontId="31" fillId="0" borderId="6" xfId="0" applyFont="1" applyBorder="1" applyAlignment="1">
      <alignment horizontal="center" vertical="center"/>
    </xf>
    <xf numFmtId="0" fontId="31" fillId="0" borderId="5"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4" xfId="0" applyFont="1" applyBorder="1" applyAlignment="1">
      <alignment horizontal="center" vertical="center" wrapText="1"/>
    </xf>
    <xf numFmtId="0" fontId="31" fillId="0" borderId="7" xfId="0" applyFont="1" applyBorder="1" applyAlignment="1">
      <alignment horizontal="center" vertical="center"/>
    </xf>
    <xf numFmtId="0" fontId="30" fillId="0" borderId="0" xfId="0" applyFont="1" applyAlignment="1">
      <alignment wrapText="1"/>
    </xf>
    <xf numFmtId="14" fontId="0" fillId="0" borderId="0" xfId="0" applyNumberFormat="1"/>
    <xf numFmtId="2" fontId="0" fillId="0" borderId="0" xfId="0" applyNumberFormat="1"/>
    <xf numFmtId="2" fontId="1" fillId="0" borderId="0" xfId="0" applyNumberFormat="1" applyFont="1"/>
    <xf numFmtId="164" fontId="1" fillId="0" borderId="0" xfId="0" applyNumberFormat="1" applyFont="1"/>
    <xf numFmtId="2" fontId="21" fillId="0" borderId="0" xfId="0" applyNumberFormat="1" applyFont="1" applyAlignment="1">
      <alignment wrapText="1"/>
    </xf>
    <xf numFmtId="0" fontId="21" fillId="0" borderId="0" xfId="0" applyFont="1"/>
    <xf numFmtId="0" fontId="22" fillId="0" borderId="0" xfId="0" applyFont="1"/>
    <xf numFmtId="2" fontId="2" fillId="0" borderId="0" xfId="0" applyNumberFormat="1" applyFont="1"/>
  </cellXfs>
  <cellStyles count="4">
    <cellStyle name="Excel Built-in Excel Built-in Excel Built-in Excel Built-in Excel Built-in Excel Built-in Excel Built-in TableStyleLight1" xfId="3" xr:uid="{8889E7BD-A7EE-364B-915E-B21B654ABAA4}"/>
    <cellStyle name="Normal" xfId="0" builtinId="0"/>
    <cellStyle name="Normal 2" xfId="1" xr:uid="{A977F6CF-3D1B-2A45-8A62-6238CC6F9E1D}"/>
    <cellStyle name="Normal 3" xfId="2" xr:uid="{C5A4AB5F-CD60-CA48-91E5-976BFFB0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etrenko, Vasilii" id="{6016615D-9800-7E43-972A-B897714CFC55}" userId="S::vpetrenk@ur.rochester.edu::1b37a52a-276c-48d9-999f-3ecc096eeb6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6-06-06T13:50:49.47" personId="{6016615D-9800-7E43-972A-B897714CFC55}" id="{848E9084-6283-DE4E-87B5-BAC8176B9AA9}">
    <text>There were no commensurately sized OX2s included in the Dome C sample wheel (wheel 2); just these two OX1s</text>
  </threadedComment>
  <threadedComment ref="D12" dT="2021-03-18T14:54:56.12" personId="{6016615D-9800-7E43-972A-B897714CFC55}" id="{0A7DBA6B-4242-A24A-B907-76441BC91655}">
    <text>This is OZQ456, dead CO2 standard. Using average of 1mg blanks from this run here (wheels 3 &amp; 4)</text>
  </threadedComment>
  <threadedComment ref="B30" dT="2021-03-18T15:13:09.70" personId="{6016615D-9800-7E43-972A-B897714CFC55}" id="{D37CD7C4-EB9F-674C-92E1-265216060A62}">
    <text xml:space="preserve">d13C-corrected and normalized to large standards. </text>
  </threadedComment>
  <threadedComment ref="A54" dT="2026-06-06T14:41:52.24" personId="{6016615D-9800-7E43-972A-B897714CFC55}" id="{BAD194FE-178A-DE47-AFD8-BFA65F5E8450}">
    <text>sample measured in wheel 3. However, there were no commensurately sized stds in wheel 3, only blanks. So including this sample in the same analysis as all wheel 2 samples</text>
  </threadedComment>
  <threadedComment ref="A55" dT="2026-06-06T14:41:52.24" personId="{6016615D-9800-7E43-972A-B897714CFC55}" id="{3E590A3E-A36C-3C44-A590-7708CC9F0D72}">
    <text>sample measured in wheel 3. However, there were no commensurately sized stds in wheel 3, only blanks. So including this sample in the same analysis as all wheel 2 samples</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6-06T13:50:49.47" personId="{6016615D-9800-7E43-972A-B897714CFC55}" id="{3AA919F7-125D-F749-B036-6FA0872EFC01}">
    <text>There were no commensurately sized OX2s included in the Dome C sample wheel (wheel 2); just these two OX1s</text>
  </threadedComment>
  <threadedComment ref="D15" dT="2021-03-18T14:54:56.12" personId="{6016615D-9800-7E43-972A-B897714CFC55}" id="{F8B62FE9-8548-2649-8517-AE7AE92C62FF}">
    <text>This is OZQ456, dead CO2 standard. Using average of 1mg blanks from this run here (wheels 3 &amp; 4)</text>
  </threadedComment>
  <threadedComment ref="B33" dT="2021-03-18T15:13:09.70" personId="{6016615D-9800-7E43-972A-B897714CFC55}" id="{9F61389F-CD5A-E34C-89C0-4F53A3BD2FBB}">
    <text xml:space="preserve">d13C-corrected and normalized to large standards. </text>
  </threadedComment>
  <threadedComment ref="I33" dT="2021-03-18T15:13:09.70" personId="{6016615D-9800-7E43-972A-B897714CFC55}" id="{B3FEFE26-AC8B-2841-9315-ABD63E3BD3CF}">
    <text xml:space="preserve">d13C-corrected and normalized to large standards. </text>
  </threadedComment>
  <threadedComment ref="Q33" dT="2026-06-08T16:11:17.77" personId="{6016615D-9800-7E43-972A-B897714CFC55}" id="{DF8D8852-0392-EB42-A8E9-BDBDBDCFD8A7}">
    <text>Taking this as a 1-sigma error</text>
  </threadedComment>
  <threadedComment ref="A57" dT="2026-06-06T14:41:52.24" personId="{6016615D-9800-7E43-972A-B897714CFC55}" id="{48E70D59-2808-8643-A320-66F23012B6AF}">
    <text>sample measured in wheel 3. However, there were no commensurately sized stds in wheel 3, only blanks. So including this sample in the same analysis as all wheel 2 samples</text>
  </threadedComment>
  <threadedComment ref="A58" dT="2026-06-06T14:41:52.24" personId="{6016615D-9800-7E43-972A-B897714CFC55}" id="{1FF90DED-BDEB-4848-93C9-6FEB9141403A}">
    <text>sample measured in wheel 3. However, there were no commensurately sized stds in wheel 3, only blanks. So including this sample in the same analysis as all wheel 2 samples</text>
  </threadedComment>
</ThreadedComments>
</file>

<file path=xl/threadedComments/threadedComment3.xml><?xml version="1.0" encoding="utf-8"?>
<ThreadedComments xmlns="http://schemas.microsoft.com/office/spreadsheetml/2018/threadedcomments" xmlns:x="http://schemas.openxmlformats.org/spreadsheetml/2006/main">
  <threadedComment ref="A8" dT="2022-08-22T20:58:26.71" personId="{6016615D-9800-7E43-972A-B897714CFC55}" id="{AABD7D54-BC3B-9D46-99AF-596FF27C1827}">
    <text>Linked to “Empirical ANSTO blank corr” sheet</text>
  </threadedComment>
  <threadedComment ref="C8" dT="2021-03-18T15:31:00.27" personId="{6016615D-9800-7E43-972A-B897714CFC55}" id="{413DF352-373A-F84B-8720-CA8B000750AD}">
    <text>For now just using the value we provided to Andrew; should re-check later</text>
  </threadedComment>
  <threadedComment ref="D8" dT="2021-09-01T19:19:26.56" personId="{6016615D-9800-7E43-972A-B897714CFC55}" id="{7B1AA631-43DB-1D4A-A23E-BF4C80B1744A}">
    <text>Need to revisit</text>
  </threadedComment>
  <threadedComment ref="E8" dT="2021-03-18T15:47:26.66" personId="{6016615D-9800-7E43-972A-B897714CFC55}" id="{78B353CF-C722-C640-8C35-E7A2F7C40349}">
    <text>corrected for d13C and normalized to large standards</text>
  </threadedComment>
  <threadedComment ref="M23" dT="2026-06-09T18:38:20.26" personId="{6016615D-9800-7E43-972A-B897714CFC55}" id="{AE0A357B-9835-F449-A2FF-446DE5226E85}">
    <text>adjusted by 0.1˚C based on notebook</text>
  </threadedComment>
  <threadedComment ref="J35" dT="2026-06-06T14:51:03.84" personId="{6016615D-9800-7E43-972A-B897714CFC55}" id="{99C48E3D-9E72-6C42-B82A-26C0A8BDE705}">
    <text>provided by Linde Gas</text>
  </threadedComment>
  <threadedComment ref="A37" dT="2021-03-18T17:34:39.72" personId="{6016615D-9800-7E43-972A-B897714CFC55}" id="{BDF46F63-1D0B-EA41-A157-8E019F378EEE}">
    <text xml:space="preserve"> Tank is CC91353</text>
  </threadedComment>
  <threadedComment ref="C37" dT="2022-08-23T13:29:01.94" personId="{6016615D-9800-7E43-972A-B897714CFC55}" id="{9C90A35B-E91A-2D4D-A2BC-08D4D2BA2CE2}">
    <text>INSTAAR measurement</text>
  </threadedComment>
  <threadedComment ref="AD40" dT="2026-06-12T18:00:41.79" personId="{6016615D-9800-7E43-972A-B897714CFC55}" id="{9FCEFEBB-0276-C940-90AF-68C754F35E12}">
    <text>based on Fain et al 2023 CP ice Dome C continuous measurements</text>
  </threadedComment>
  <threadedComment ref="AF40" dT="2026-06-12T19:06:12.18" personId="{6016615D-9800-7E43-972A-B897714CFC55}" id="{6194D51A-9416-E847-90FE-32CF4AE7E9B7}">
    <text>The water blank CO increased at mid-season, after a set of IGE extractiions. This was also reflected in generally higher ice sample CO starting with our ice sample 6. So I am using the average of 2 water blanks run in early season and applying that for earlier samples, and using the average of the 2 late-season water blanks for late-season samples. Samples 11 - 14 were in late season, run without the bubbler/recirculation, and had slightly lower CO. So assigning a slightly lower blank for these</text>
  </threadedComment>
  <threadedComment ref="AJ40" dT="2026-06-12T19:12:21.85" personId="{6016615D-9800-7E43-972A-B897714CFC55}" id="{26A641C3-4311-5945-9842-1B36C49E3BCF}">
    <text>We don't really know this. This value could be consistent with the hot melter wall CO, but given the erratic nature of blanks, there was likely an external contaminant</text>
  </threadedComment>
  <threadedComment ref="AK40" dT="2026-06-12T19:12:54.56" personId="{6016615D-9800-7E43-972A-B897714CFC55}" id="{EC04BA84-9D10-3E47-BB03-77F7B5020DF8}">
    <text>25 pMC 1-sigma error allows for anywheer between 0 and 100 pMC at 2 sigma</text>
  </threadedComment>
  <threadedComment ref="AL40" dT="2026-06-12T19:21:51.18" personId="{6016615D-9800-7E43-972A-B897714CFC55}" id="{90175F2B-DACA-B543-A708-9BD4437436E0}">
    <text>assuming -25 per mil for this extra CO</text>
  </threadedComment>
  <threadedComment ref="AM40" dT="2026-06-12T19:22:10.14" personId="{6016615D-9800-7E43-972A-B897714CFC55}" id="{73971CC4-33C1-4042-9035-195A6C7A2F5C}">
    <text>d13C uncertainty is unimportant comapred to pMC uncertainty</text>
  </threadedComment>
  <threadedComment ref="AP40" dT="2026-06-14T15:57:35.23" personId="{6016615D-9800-7E43-972A-B897714CFC55}" id="{EA101724-42CA-4546-8556-87199D276ADA}">
    <text>For firn samples, I am assuming this is negligible. For ice samples, assuming this is equal to the average of the somewhat older (4" core) Law Dome samples (after all corrections). See "Notes on 14CO data corrections.docx"</text>
  </threadedComment>
  <threadedComment ref="AT40" dT="2026-06-17T22:03:04.18" personId="{6016615D-9800-7E43-972A-B897714CFC55}" id="{44286197-62A9-9843-A6EC-9112E56618BB}">
    <text>assuming age uncertainty is relatively negligible</text>
  </threadedComment>
  <threadedComment ref="AW40" dT="2026-06-11T15:33:04.99" personId="{6016615D-9800-7E43-972A-B897714CFC55}" id="{AA98C098-99CB-654D-A516-EF4F3B590497}">
    <text>For almost all ice samples, this is mean of OSU subsample measurements and std error of those. For ice sample 1, it's the average of melter sample estimates for sample 1 and 11, and the stdev. For firn samples, this is melter sample estimates. See "Air content" sheet as well as discussion in "Notes on 14CO data corrections.xlsx"</text>
  </threadedComment>
</ThreadedComments>
</file>

<file path=xl/threadedComments/threadedComment4.xml><?xml version="1.0" encoding="utf-8"?>
<ThreadedComments xmlns="http://schemas.microsoft.com/office/spreadsheetml/2018/threadedcomments" xmlns:x="http://schemas.openxmlformats.org/spreadsheetml/2006/main">
  <threadedComment ref="E3" dT="2026-06-09T13:48:40.85" personId="{6016615D-9800-7E43-972A-B897714CFC55}" id="{1A8BED26-0A1A-A34D-A42C-57C50BEB07C9}">
    <text>calculated as the mean of means for OSU samples that fall within the melter sample depth range. See OSU_DomeC_CH4_data.xlsx
Alex confirmed that all subsamples for OSU were taken from the first borehole. So 2nd borehole values are just inferred based on values for those depth ranges from 1st borehole</text>
  </threadedComment>
  <threadedComment ref="F3" dT="2026-06-09T13:04:14.49" personId="{6016615D-9800-7E43-972A-B897714CFC55}" id="{8EF8E6C3-E6C0-9D43-8429-2463D950565C}">
    <text>standard error of OSU measurement means</text>
  </threadedComment>
  <threadedComment ref="H3" dT="2026-06-09T13:48:40.85" personId="{6016615D-9800-7E43-972A-B897714CFC55}" id="{1F78693D-2EE4-D648-AD9E-437D49E7AB93}">
    <text>calculated as the mean of means for OSU samples that fall within the melter sample depth range. See OSU_DomeC_CH4_data.xlsx
Alex confirmed that all subsamples for OSU were taken from the first borehole. So 2nd borehole values are just inferred based on values for those depth ranges from 1st borehole.
This is approached differently for the shallowest 3 depth levels because of significant fraction of 14CO that is in ice grains. See "Notes on 14CO data corrections.docx"</text>
  </threadedComment>
  <threadedComment ref="I3" dT="2026-06-09T13:04:14.49" personId="{6016615D-9800-7E43-972A-B897714CFC55}" id="{63A2EB88-A6AA-404E-AD08-1388A5F7D147}">
    <text>standard error of OSU measurement means</text>
  </threadedComment>
  <threadedComment ref="N3" dT="2026-06-14T17:44:40.70" personId="{6016615D-9800-7E43-972A-B897714CFC55}" id="{FCBE2E78-FA01-D04B-8B18-770E4AE70259}">
    <text>See notes on 14CO data correction.docx</text>
  </threadedComment>
  <threadedComment ref="P3" dT="2026-06-14T17:57:41.16" personId="{6016615D-9800-7E43-972A-B897714CFC55}" id="{5F5EBE16-1EFC-974D-AA10-A912D367A6D0}">
    <text>See "Notes on 14CO data corrections.docx"</text>
  </threadedComment>
  <threadedComment ref="G22" dT="2026-06-09T14:25:55.91" personId="{6016615D-9800-7E43-972A-B897714CFC55}" id="{75265FD5-CD28-3E4E-BDA6-FA60B1968140}">
    <text>Accuracy of the Paroscientific P gauge</text>
  </threadedComment>
  <threadedComment ref="K22" dT="2026-06-09T15:20:37.99" personId="{6016615D-9800-7E43-972A-B897714CFC55}" id="{F7D74D1A-4A59-7044-97D5-717205D5FCFC}">
    <text>dominant contribution to error is the uncertainty in downstream volume</text>
  </threadedComment>
  <threadedComment ref="N22" dT="2026-06-09T15:31:16.67" personId="{6016615D-9800-7E43-972A-B897714CFC55}" id="{7071D412-104F-FA47-9709-A5CD1BE50DE6}">
    <text>See "Dome C melter gas solubility analyses.xlsx"</text>
  </threadedComment>
  <threadedComment ref="J23" dT="2026-06-09T15:19:26.54" personId="{6016615D-9800-7E43-972A-B897714CFC55}" id="{08D6EDBF-DC12-9D43-8773-993FE2E62770}">
    <text>Adding 15 torr to Weiss lab measurement -- this is an approximate amount by which pressure was higher before field Picarro measurement. Assuming 20˚C for overall T in downstream space because N145 pump is warm</text>
  </threadedComment>
  <threadedComment ref="K41" dT="2026-06-09T15:35:49.23" personId="{6016615D-9800-7E43-972A-B897714CFC55}" id="{453F2F43-1941-AD4E-9181-CBDE3CBBB178}">
    <text>Basically this is needed because once we start pulling air out of headspace, some gas starts to evade from the water</text>
  </threadedComment>
  <threadedComment ref="O41" dT="2026-06-09T15:36:04.55" personId="{6016615D-9800-7E43-972A-B897714CFC55}" id="{C452745E-820E-C545-9F59-F8F4D71257BD}">
    <text>Value determined from LD work</text>
  </threadedComment>
  <threadedComment ref="O42" dT="2026-06-09T15:37:13.69" personId="{6016615D-9800-7E43-972A-B897714CFC55}" id="{5C58F3C0-9DD1-BE43-A6EC-CDC35D0EDE6E}">
    <text>doubling the error, because the value is from LD and some of our procedural parameters were different (e.g., transfer time was smaller)</text>
  </threadedComment>
  <threadedComment ref="G44" dT="2026-06-09T14:52:28.78" personId="{6016615D-9800-7E43-972A-B897714CFC55}" id="{793298D5-225A-3848-AF75-4F7B545267F9}">
    <text>Error contribution from T is negligible by comparison</text>
  </threadedComment>
  <threadedComment ref="A47" dT="2026-06-09T22:11:28.86" personId="{6016615D-9800-7E43-972A-B897714CFC55}" id="{4027F81E-9CBD-5D4A-A998-44137CD2835B}">
    <text>From an email from Restek 6/9/26</text>
  </threadedComment>
</ThreadedComments>
</file>

<file path=xl/threadedComments/threadedComment5.xml><?xml version="1.0" encoding="utf-8"?>
<ThreadedComments xmlns="http://schemas.microsoft.com/office/spreadsheetml/2018/threadedcomments" xmlns:x="http://schemas.openxmlformats.org/spreadsheetml/2006/main">
  <threadedComment ref="F3" dT="2026-06-17T21:51:26.11" personId="{6016615D-9800-7E43-972A-B897714CFC55}" id="{5DBE3F5D-2B80-5242-911C-246E52E552EE}">
    <text>From OSU CH4-matching age scale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DBB6-517E-F041-BFBD-FBBE4335945E}">
  <dimension ref="A1:I57"/>
  <sheetViews>
    <sheetView topLeftCell="A5" zoomScale="125" zoomScaleNormal="125" zoomScalePageLayoutView="125" workbookViewId="0">
      <selection activeCell="B30" sqref="B30"/>
    </sheetView>
  </sheetViews>
  <sheetFormatPr baseColWidth="10" defaultRowHeight="16"/>
  <cols>
    <col min="1" max="1" width="31.5" style="1" customWidth="1"/>
    <col min="2" max="2" width="13.83203125" style="1" customWidth="1"/>
    <col min="3" max="9" width="10.83203125" style="1"/>
    <col min="10" max="10" width="23.83203125" style="1" customWidth="1"/>
    <col min="11" max="16384" width="10.83203125" style="1"/>
  </cols>
  <sheetData>
    <row r="1" spans="1:6">
      <c r="A1" s="22" t="s">
        <v>25</v>
      </c>
    </row>
    <row r="2" spans="1:6" s="3" customFormat="1">
      <c r="A2" s="21" t="s">
        <v>26</v>
      </c>
    </row>
    <row r="3" spans="1:6" customFormat="1">
      <c r="A3" t="s">
        <v>110</v>
      </c>
    </row>
    <row r="4" spans="1:6">
      <c r="A4" s="9"/>
    </row>
    <row r="5" spans="1:6" s="19" customFormat="1" ht="35" thickBot="1">
      <c r="A5" s="20" t="s">
        <v>17</v>
      </c>
      <c r="B5" s="19" t="s">
        <v>16</v>
      </c>
      <c r="C5" s="19" t="s">
        <v>15</v>
      </c>
      <c r="D5" s="19" t="s">
        <v>14</v>
      </c>
      <c r="E5" s="19" t="s">
        <v>13</v>
      </c>
    </row>
    <row r="6" spans="1:6">
      <c r="A6" s="18" t="s">
        <v>18</v>
      </c>
      <c r="B6" s="11">
        <v>101.29779749158763</v>
      </c>
      <c r="C6" s="11">
        <v>1.8987284250460521</v>
      </c>
      <c r="D6" s="3">
        <v>103.98</v>
      </c>
      <c r="E6" s="3">
        <v>0.04</v>
      </c>
      <c r="F6" s="1" t="s">
        <v>20</v>
      </c>
    </row>
    <row r="7" spans="1:6" ht="17" thickBot="1">
      <c r="A7" s="17" t="s">
        <v>19</v>
      </c>
      <c r="B7" s="11">
        <v>107.94891404099113</v>
      </c>
      <c r="C7" s="11">
        <v>0.67739048721939799</v>
      </c>
      <c r="D7" s="3">
        <v>103.98</v>
      </c>
      <c r="E7" s="3">
        <v>0.04</v>
      </c>
    </row>
    <row r="8" spans="1:6">
      <c r="A8" s="16" t="s">
        <v>21</v>
      </c>
      <c r="B8" s="11">
        <v>50.605974510918095</v>
      </c>
      <c r="C8" s="11">
        <v>0.4977457365568837</v>
      </c>
      <c r="D8" s="3">
        <v>49.53</v>
      </c>
      <c r="E8" s="3">
        <v>0.12</v>
      </c>
    </row>
    <row r="9" spans="1:6" ht="17" thickBot="1">
      <c r="A9" s="15" t="s">
        <v>22</v>
      </c>
      <c r="B9" s="11">
        <v>50.76426658007955</v>
      </c>
      <c r="C9" s="11">
        <v>0.54584196753698533</v>
      </c>
      <c r="D9" s="3">
        <v>49.53</v>
      </c>
      <c r="E9" s="3">
        <v>0.12</v>
      </c>
    </row>
    <row r="10" spans="1:6">
      <c r="A10" s="14" t="s">
        <v>23</v>
      </c>
      <c r="B10" s="11">
        <v>15.660544571096784</v>
      </c>
      <c r="C10" s="11">
        <v>0.25170620113659276</v>
      </c>
      <c r="D10" s="3">
        <v>15.03</v>
      </c>
      <c r="E10" s="3">
        <v>0.17</v>
      </c>
    </row>
    <row r="11" spans="1:6" ht="17" thickBot="1">
      <c r="A11" s="13" t="s">
        <v>24</v>
      </c>
      <c r="B11" s="11">
        <v>16.4024539314855</v>
      </c>
      <c r="C11" s="11">
        <v>0.25600668833716322</v>
      </c>
      <c r="D11" s="3">
        <v>15.03</v>
      </c>
      <c r="E11" s="3">
        <v>0.17</v>
      </c>
    </row>
    <row r="12" spans="1:6">
      <c r="A12" s="12" t="s">
        <v>27</v>
      </c>
      <c r="B12" s="11">
        <v>0.88642598733795586</v>
      </c>
      <c r="C12" s="11">
        <v>0.13760007688951875</v>
      </c>
      <c r="D12" s="3">
        <v>0.24</v>
      </c>
      <c r="E12" s="3">
        <v>0.09</v>
      </c>
    </row>
    <row r="13" spans="1:6">
      <c r="A13" s="10" t="s">
        <v>28</v>
      </c>
      <c r="B13" s="11">
        <v>0.93179077479650285</v>
      </c>
      <c r="C13" s="11">
        <v>7.5700154433398434E-2</v>
      </c>
      <c r="D13" s="3">
        <v>0.24</v>
      </c>
      <c r="E13" s="3">
        <v>0.09</v>
      </c>
    </row>
    <row r="14" spans="1:6">
      <c r="A14" s="10" t="s">
        <v>29</v>
      </c>
      <c r="B14" s="11">
        <v>0.6432393729273439</v>
      </c>
      <c r="C14" s="11">
        <v>5.9800093163212512E-2</v>
      </c>
      <c r="D14" s="3">
        <v>0.24</v>
      </c>
      <c r="E14" s="3">
        <v>0.09</v>
      </c>
    </row>
    <row r="15" spans="1:6">
      <c r="A15" s="10" t="s">
        <v>30</v>
      </c>
      <c r="B15" s="11">
        <v>0.66165963219776902</v>
      </c>
      <c r="C15" s="11">
        <v>5.170011401946388E-2</v>
      </c>
      <c r="D15" s="3">
        <v>0.24</v>
      </c>
      <c r="E15" s="3">
        <v>0.09</v>
      </c>
    </row>
    <row r="16" spans="1:6" customFormat="1"/>
    <row r="17" spans="1:8">
      <c r="A17" s="9"/>
      <c r="B17" s="8"/>
      <c r="C17" s="8"/>
    </row>
    <row r="18" spans="1:8" customFormat="1">
      <c r="A18" t="s">
        <v>31</v>
      </c>
    </row>
    <row r="19" spans="1:8" s="3" customFormat="1"/>
    <row r="20" spans="1:8" s="3" customFormat="1"/>
    <row r="21" spans="1:8" s="3" customFormat="1">
      <c r="A21" s="3" t="s">
        <v>12</v>
      </c>
    </row>
    <row r="22" spans="1:8" s="3" customFormat="1"/>
    <row r="23" spans="1:8" s="3" customFormat="1">
      <c r="A23"/>
      <c r="B23" t="s">
        <v>11</v>
      </c>
      <c r="C23" t="s">
        <v>10</v>
      </c>
    </row>
    <row r="24" spans="1:8" s="3" customFormat="1">
      <c r="A24" t="s">
        <v>9</v>
      </c>
      <c r="B24">
        <v>0.47125</v>
      </c>
      <c r="C24">
        <v>3.5700000000000003E-2</v>
      </c>
    </row>
    <row r="25" spans="1:8" s="3" customFormat="1">
      <c r="A25" t="s">
        <v>8</v>
      </c>
      <c r="B25">
        <v>1.0229999999999999</v>
      </c>
      <c r="C25">
        <v>4.7999999999999996E-3</v>
      </c>
    </row>
    <row r="26" spans="1:8" s="3" customFormat="1">
      <c r="A26" t="s">
        <v>7</v>
      </c>
      <c r="B26">
        <f>B24/B25</f>
        <v>0.46065493646138811</v>
      </c>
      <c r="C26">
        <f>B26*SQRT((C24/B24)^2+(C25/B25)^2)</f>
        <v>3.4964232683395345E-2</v>
      </c>
    </row>
    <row r="27" spans="1:8" s="3" customFormat="1"/>
    <row r="28" spans="1:8" s="3" customFormat="1">
      <c r="A28" s="3" t="s">
        <v>6</v>
      </c>
    </row>
    <row r="30" spans="1:8" s="3" customFormat="1" ht="69" thickBot="1">
      <c r="A30" s="3" t="s">
        <v>5</v>
      </c>
      <c r="B30" s="7" t="s">
        <v>4</v>
      </c>
      <c r="C30" s="3" t="s">
        <v>1</v>
      </c>
      <c r="D30" s="6" t="s">
        <v>3</v>
      </c>
      <c r="E30" t="s">
        <v>1</v>
      </c>
      <c r="F30" s="6" t="s">
        <v>2</v>
      </c>
      <c r="G30" t="s">
        <v>1</v>
      </c>
      <c r="H30" s="6" t="s">
        <v>0</v>
      </c>
    </row>
    <row r="31" spans="1:8" s="3" customFormat="1">
      <c r="A31" s="5" t="s">
        <v>32</v>
      </c>
      <c r="B31">
        <v>11.299988715014596</v>
      </c>
      <c r="C31">
        <v>0.18671165477596013</v>
      </c>
      <c r="D31">
        <f t="shared" ref="D31:D53" si="0">B31/B$25</f>
        <v>11.045932272741542</v>
      </c>
      <c r="E31">
        <f t="shared" ref="E31:E53" si="1">D31*SQRT((C31/B31)^2+(C$25/B$25)^2)</f>
        <v>0.18973003392512117</v>
      </c>
      <c r="F31">
        <f t="shared" ref="F31:F53" si="2">D31-B$26</f>
        <v>10.585277336280154</v>
      </c>
      <c r="G31">
        <f t="shared" ref="G31:G53" si="3">SQRT(E31^2+C$26^2)</f>
        <v>0.19292481266121847</v>
      </c>
      <c r="H31">
        <f t="shared" ref="H31:H53" si="4">G31/F31*100</f>
        <v>1.8225768350913658</v>
      </c>
    </row>
    <row r="32" spans="1:8" s="3" customFormat="1">
      <c r="A32" s="2" t="s">
        <v>33</v>
      </c>
      <c r="B32">
        <v>11.819202052723243</v>
      </c>
      <c r="C32">
        <v>0.31420757653581372</v>
      </c>
      <c r="D32">
        <f t="shared" si="0"/>
        <v>11.553472192300337</v>
      </c>
      <c r="E32">
        <f t="shared" si="1"/>
        <v>0.31189052868195954</v>
      </c>
      <c r="F32">
        <f t="shared" si="2"/>
        <v>11.092817255838948</v>
      </c>
      <c r="G32">
        <f t="shared" si="3"/>
        <v>0.31384422799957762</v>
      </c>
      <c r="H32">
        <f t="shared" si="4"/>
        <v>2.8292562724260044</v>
      </c>
    </row>
    <row r="33" spans="1:8" s="3" customFormat="1">
      <c r="A33" s="2" t="s">
        <v>34</v>
      </c>
      <c r="B33">
        <v>117.68497625212633</v>
      </c>
      <c r="C33">
        <v>0.71862850551621937</v>
      </c>
      <c r="D33">
        <f t="shared" si="0"/>
        <v>115.03907747030924</v>
      </c>
      <c r="E33">
        <f t="shared" si="1"/>
        <v>0.8859012938141726</v>
      </c>
      <c r="F33">
        <f t="shared" si="2"/>
        <v>114.57842253384786</v>
      </c>
      <c r="G33">
        <f t="shared" si="3"/>
        <v>0.88659099924867479</v>
      </c>
      <c r="H33">
        <f t="shared" si="4"/>
        <v>0.77378530760166919</v>
      </c>
    </row>
    <row r="34" spans="1:8" s="3" customFormat="1">
      <c r="A34" s="2" t="s">
        <v>35</v>
      </c>
      <c r="B34">
        <v>138.17970585191497</v>
      </c>
      <c r="C34">
        <v>1.5643080179998561</v>
      </c>
      <c r="D34">
        <f t="shared" si="0"/>
        <v>135.07302624820625</v>
      </c>
      <c r="E34">
        <f t="shared" si="1"/>
        <v>1.6552739041519895</v>
      </c>
      <c r="F34">
        <f t="shared" si="2"/>
        <v>134.61237131174485</v>
      </c>
      <c r="G34">
        <f t="shared" si="3"/>
        <v>1.6556431364680337</v>
      </c>
      <c r="H34">
        <f t="shared" si="4"/>
        <v>1.2299338614530297</v>
      </c>
    </row>
    <row r="35" spans="1:8" s="3" customFormat="1">
      <c r="A35" s="2" t="s">
        <v>36</v>
      </c>
      <c r="B35">
        <v>155.36850677801186</v>
      </c>
      <c r="C35">
        <v>0.95243201247643439</v>
      </c>
      <c r="D35">
        <f t="shared" si="0"/>
        <v>151.8753731945375</v>
      </c>
      <c r="E35">
        <f t="shared" si="1"/>
        <v>1.1724380886029633</v>
      </c>
      <c r="F35">
        <f t="shared" si="2"/>
        <v>151.41471825807611</v>
      </c>
      <c r="G35">
        <f t="shared" si="3"/>
        <v>1.172959321193241</v>
      </c>
      <c r="H35">
        <f t="shared" si="4"/>
        <v>0.77466664713136502</v>
      </c>
    </row>
    <row r="36" spans="1:8" s="3" customFormat="1">
      <c r="A36" s="2" t="s">
        <v>37</v>
      </c>
      <c r="B36">
        <v>90.933320297528383</v>
      </c>
      <c r="C36">
        <v>1.248312888074226</v>
      </c>
      <c r="D36">
        <f t="shared" si="0"/>
        <v>88.888876146166567</v>
      </c>
      <c r="E36">
        <f t="shared" si="1"/>
        <v>1.2895556900739935</v>
      </c>
      <c r="F36">
        <f t="shared" si="2"/>
        <v>88.428221209705185</v>
      </c>
      <c r="G36">
        <f t="shared" si="3"/>
        <v>1.2900296025166835</v>
      </c>
      <c r="H36">
        <f t="shared" si="4"/>
        <v>1.4588437773246761</v>
      </c>
    </row>
    <row r="37" spans="1:8" s="3" customFormat="1">
      <c r="A37" s="2" t="s">
        <v>38</v>
      </c>
      <c r="B37">
        <v>4.6835679691550665</v>
      </c>
      <c r="C37">
        <v>0.12490299289717177</v>
      </c>
      <c r="D37">
        <f t="shared" si="0"/>
        <v>4.5782678095357445</v>
      </c>
      <c r="E37">
        <f t="shared" si="1"/>
        <v>0.12397016848196847</v>
      </c>
      <c r="F37">
        <f t="shared" si="2"/>
        <v>4.1176128730743562</v>
      </c>
      <c r="G37">
        <f t="shared" si="3"/>
        <v>0.12880644487208806</v>
      </c>
      <c r="H37">
        <f t="shared" si="4"/>
        <v>3.1281824892857544</v>
      </c>
    </row>
    <row r="38" spans="1:8" s="4" customFormat="1">
      <c r="A38" s="2" t="s">
        <v>39</v>
      </c>
      <c r="B38">
        <v>129.63093937362609</v>
      </c>
      <c r="C38">
        <v>1.0143823461581651</v>
      </c>
      <c r="D38">
        <f t="shared" si="0"/>
        <v>126.71646077578309</v>
      </c>
      <c r="E38">
        <f t="shared" si="1"/>
        <v>1.1561702082014622</v>
      </c>
      <c r="F38">
        <f t="shared" si="2"/>
        <v>126.25580583932171</v>
      </c>
      <c r="G38">
        <f t="shared" si="3"/>
        <v>1.1566987714611574</v>
      </c>
      <c r="H38">
        <f t="shared" si="4"/>
        <v>0.91615491562678664</v>
      </c>
    </row>
    <row r="39" spans="1:8" s="3" customFormat="1">
      <c r="A39" s="2" t="s">
        <v>40</v>
      </c>
      <c r="B39">
        <v>171.97927723048775</v>
      </c>
      <c r="C39">
        <v>1.3754664931564666</v>
      </c>
      <c r="D39">
        <f t="shared" si="0"/>
        <v>168.11268546479744</v>
      </c>
      <c r="E39">
        <f t="shared" si="1"/>
        <v>1.5588445634151107</v>
      </c>
      <c r="F39">
        <f t="shared" si="2"/>
        <v>167.65203052833604</v>
      </c>
      <c r="G39">
        <f t="shared" si="3"/>
        <v>1.5592366306805345</v>
      </c>
      <c r="H39">
        <f t="shared" si="4"/>
        <v>0.930043391521582</v>
      </c>
    </row>
    <row r="40" spans="1:8" s="3" customFormat="1">
      <c r="A40" s="2" t="s">
        <v>41</v>
      </c>
      <c r="B40">
        <v>108.7001516972462</v>
      </c>
      <c r="C40">
        <v>0.64391278399995633</v>
      </c>
      <c r="D40">
        <f t="shared" si="0"/>
        <v>106.25625776856911</v>
      </c>
      <c r="E40">
        <f t="shared" si="1"/>
        <v>0.80296608201236863</v>
      </c>
      <c r="F40">
        <f t="shared" si="2"/>
        <v>105.79560283210773</v>
      </c>
      <c r="G40">
        <f t="shared" si="3"/>
        <v>0.80372696012354383</v>
      </c>
      <c r="H40">
        <f t="shared" si="4"/>
        <v>0.75969788782149839</v>
      </c>
    </row>
    <row r="41" spans="1:8" s="3" customFormat="1">
      <c r="A41" s="2" t="s">
        <v>42</v>
      </c>
      <c r="B41">
        <v>4.7660133682873189</v>
      </c>
      <c r="C41">
        <v>0.24820155959973905</v>
      </c>
      <c r="D41">
        <f t="shared" si="0"/>
        <v>4.6588595975438114</v>
      </c>
      <c r="E41">
        <f t="shared" si="1"/>
        <v>0.2436040426369101</v>
      </c>
      <c r="F41">
        <f t="shared" si="2"/>
        <v>4.1982046610824231</v>
      </c>
      <c r="G41">
        <f t="shared" si="3"/>
        <v>0.24610044119461494</v>
      </c>
      <c r="H41">
        <f t="shared" si="4"/>
        <v>5.8620401114785778</v>
      </c>
    </row>
    <row r="42" spans="1:8">
      <c r="A42" s="2" t="s">
        <v>43</v>
      </c>
      <c r="B42">
        <v>100.60366871235196</v>
      </c>
      <c r="C42">
        <v>1.1439507838065202</v>
      </c>
      <c r="D42">
        <f t="shared" si="0"/>
        <v>98.34180714794914</v>
      </c>
      <c r="E42">
        <f t="shared" si="1"/>
        <v>1.2096930374001857</v>
      </c>
      <c r="F42">
        <f t="shared" si="2"/>
        <v>97.881152211487759</v>
      </c>
      <c r="G42">
        <f t="shared" si="3"/>
        <v>1.2101982243837683</v>
      </c>
      <c r="H42">
        <f t="shared" si="4"/>
        <v>1.236395564458562</v>
      </c>
    </row>
    <row r="43" spans="1:8">
      <c r="A43" s="2" t="s">
        <v>44</v>
      </c>
      <c r="B43">
        <v>127.26811305163167</v>
      </c>
      <c r="C43">
        <v>0.69799556276956543</v>
      </c>
      <c r="D43">
        <f t="shared" si="0"/>
        <v>124.40675762622843</v>
      </c>
      <c r="E43">
        <f t="shared" si="1"/>
        <v>0.89792746249609967</v>
      </c>
      <c r="F43">
        <f t="shared" si="2"/>
        <v>123.94610268976705</v>
      </c>
      <c r="G43">
        <f t="shared" si="3"/>
        <v>0.89860793757445911</v>
      </c>
      <c r="H43">
        <f t="shared" si="4"/>
        <v>0.72499894556882094</v>
      </c>
    </row>
    <row r="44" spans="1:8" customFormat="1">
      <c r="A44" s="2" t="s">
        <v>45</v>
      </c>
      <c r="B44">
        <v>143.99043324463091</v>
      </c>
      <c r="C44">
        <v>1.923683679265475</v>
      </c>
      <c r="D44">
        <f t="shared" si="0"/>
        <v>140.75311167608106</v>
      </c>
      <c r="E44">
        <f t="shared" si="1"/>
        <v>1.9930359514992089</v>
      </c>
      <c r="F44">
        <f t="shared" si="2"/>
        <v>140.29245673961967</v>
      </c>
      <c r="G44">
        <f t="shared" si="3"/>
        <v>1.9933426202074482</v>
      </c>
      <c r="H44">
        <f t="shared" si="4"/>
        <v>1.4208480388272458</v>
      </c>
    </row>
    <row r="45" spans="1:8" customFormat="1">
      <c r="A45" s="2" t="s">
        <v>46</v>
      </c>
      <c r="B45">
        <v>126.89290028805314</v>
      </c>
      <c r="C45">
        <v>1.1222445345620879</v>
      </c>
      <c r="D45">
        <f t="shared" si="0"/>
        <v>124.03998073123475</v>
      </c>
      <c r="E45">
        <f t="shared" si="1"/>
        <v>1.2418408711076581</v>
      </c>
      <c r="F45">
        <f t="shared" si="2"/>
        <v>123.57932579477337</v>
      </c>
      <c r="G45">
        <f t="shared" si="3"/>
        <v>1.2423329854433416</v>
      </c>
      <c r="H45">
        <f t="shared" si="4"/>
        <v>1.0052919268280103</v>
      </c>
    </row>
    <row r="46" spans="1:8" customFormat="1">
      <c r="A46" s="2" t="s">
        <v>47</v>
      </c>
      <c r="B46">
        <v>143.78761553458847</v>
      </c>
      <c r="C46">
        <v>1.1644026230547475</v>
      </c>
      <c r="D46">
        <f t="shared" si="0"/>
        <v>140.55485389500339</v>
      </c>
      <c r="E46">
        <f t="shared" si="1"/>
        <v>1.3154794718588962</v>
      </c>
      <c r="F46">
        <f t="shared" si="2"/>
        <v>140.09419895854199</v>
      </c>
      <c r="G46">
        <f t="shared" si="3"/>
        <v>1.315944048373372</v>
      </c>
      <c r="H46">
        <f t="shared" si="4"/>
        <v>0.93932800798040073</v>
      </c>
    </row>
    <row r="47" spans="1:8" customFormat="1">
      <c r="A47" s="2" t="s">
        <v>48</v>
      </c>
      <c r="B47">
        <v>4.0441851382462719</v>
      </c>
      <c r="C47">
        <v>0.11950233236060574</v>
      </c>
      <c r="D47">
        <f t="shared" si="0"/>
        <v>3.9532601546884383</v>
      </c>
      <c r="E47">
        <f t="shared" si="1"/>
        <v>0.11827909601717758</v>
      </c>
      <c r="F47">
        <f t="shared" si="2"/>
        <v>3.4926052182270499</v>
      </c>
      <c r="G47">
        <f t="shared" si="3"/>
        <v>0.12333872920449328</v>
      </c>
      <c r="H47">
        <f t="shared" si="4"/>
        <v>3.53142486762657</v>
      </c>
    </row>
    <row r="48" spans="1:8" customFormat="1">
      <c r="A48" s="2" t="s">
        <v>49</v>
      </c>
      <c r="B48">
        <v>149.44622964477259</v>
      </c>
      <c r="C48">
        <v>1.2774979656098322</v>
      </c>
      <c r="D48">
        <f t="shared" si="0"/>
        <v>146.08624598706999</v>
      </c>
      <c r="E48">
        <f t="shared" si="1"/>
        <v>1.4245285721571828</v>
      </c>
      <c r="F48">
        <f t="shared" si="2"/>
        <v>145.62559105060859</v>
      </c>
      <c r="G48">
        <f t="shared" si="3"/>
        <v>1.4249575960214818</v>
      </c>
      <c r="H48">
        <f t="shared" si="4"/>
        <v>0.97850768243493202</v>
      </c>
    </row>
    <row r="49" spans="1:9" s="24" customFormat="1">
      <c r="A49" s="23" t="s">
        <v>50</v>
      </c>
      <c r="B49" s="24">
        <v>92.673496249692519</v>
      </c>
      <c r="C49" s="24">
        <v>7.9096185038393614</v>
      </c>
      <c r="D49" s="24">
        <f t="shared" si="0"/>
        <v>90.589927907812836</v>
      </c>
      <c r="E49" s="24">
        <f t="shared" si="1"/>
        <v>7.7434622991850111</v>
      </c>
      <c r="F49" s="24">
        <f t="shared" si="2"/>
        <v>90.129272971351455</v>
      </c>
      <c r="G49" s="24">
        <f t="shared" si="3"/>
        <v>7.743541236183014</v>
      </c>
      <c r="H49" s="24">
        <f t="shared" si="4"/>
        <v>8.5915940303261742</v>
      </c>
      <c r="I49" s="24" t="s">
        <v>97</v>
      </c>
    </row>
    <row r="50" spans="1:9">
      <c r="A50" s="2" t="s">
        <v>51</v>
      </c>
      <c r="B50">
        <v>123.12049088126375</v>
      </c>
      <c r="C50">
        <v>1.3689887107006893</v>
      </c>
      <c r="D50">
        <f t="shared" si="0"/>
        <v>120.35238600319038</v>
      </c>
      <c r="E50">
        <f t="shared" si="1"/>
        <v>1.4524790819590816</v>
      </c>
      <c r="F50">
        <f t="shared" si="2"/>
        <v>119.89173106672899</v>
      </c>
      <c r="G50">
        <f t="shared" si="3"/>
        <v>1.4528998523972101</v>
      </c>
      <c r="H50">
        <f t="shared" si="4"/>
        <v>1.2118432517990412</v>
      </c>
    </row>
    <row r="51" spans="1:9">
      <c r="A51" s="2" t="s">
        <v>52</v>
      </c>
      <c r="B51">
        <v>145.69410200898741</v>
      </c>
      <c r="C51">
        <v>1.283981759472077</v>
      </c>
      <c r="D51">
        <f t="shared" si="0"/>
        <v>142.41847703713336</v>
      </c>
      <c r="E51">
        <f t="shared" si="1"/>
        <v>1.4219195136490921</v>
      </c>
      <c r="F51">
        <f t="shared" si="2"/>
        <v>141.95782210067196</v>
      </c>
      <c r="G51">
        <f t="shared" si="3"/>
        <v>1.4223493244850962</v>
      </c>
      <c r="H51">
        <f t="shared" si="4"/>
        <v>1.0019520611385624</v>
      </c>
    </row>
    <row r="52" spans="1:9">
      <c r="A52" s="2" t="s">
        <v>53</v>
      </c>
      <c r="B52">
        <v>4.5067109259980578</v>
      </c>
      <c r="C52">
        <v>0.12510276670640236</v>
      </c>
      <c r="D52">
        <f t="shared" si="0"/>
        <v>4.4053870244360294</v>
      </c>
      <c r="E52">
        <f t="shared" si="1"/>
        <v>0.12402473226490787</v>
      </c>
      <c r="F52">
        <f t="shared" si="2"/>
        <v>3.944732087974641</v>
      </c>
      <c r="G52">
        <f t="shared" si="3"/>
        <v>0.12885896080801168</v>
      </c>
      <c r="H52">
        <f t="shared" si="4"/>
        <v>3.266608680493996</v>
      </c>
    </row>
    <row r="53" spans="1:9">
      <c r="A53" s="2" t="s">
        <v>54</v>
      </c>
      <c r="B53">
        <v>158.45133597065697</v>
      </c>
      <c r="C53">
        <v>2.1211017236179428</v>
      </c>
      <c r="D53">
        <f t="shared" si="0"/>
        <v>154.88889146691787</v>
      </c>
      <c r="E53">
        <f t="shared" si="1"/>
        <v>2.1970912525411226</v>
      </c>
      <c r="F53">
        <f t="shared" si="2"/>
        <v>154.42823653045647</v>
      </c>
      <c r="G53">
        <f t="shared" si="3"/>
        <v>2.1973694431205368</v>
      </c>
      <c r="H53">
        <f t="shared" si="4"/>
        <v>1.4229065179327938</v>
      </c>
    </row>
    <row r="54" spans="1:9" customFormat="1">
      <c r="A54" t="s">
        <v>89</v>
      </c>
      <c r="B54">
        <v>6.1573428591784634</v>
      </c>
      <c r="C54">
        <v>0.14180455626787217</v>
      </c>
      <c r="D54">
        <f t="shared" ref="D54:D55" si="5">B54/B$25</f>
        <v>6.018907975736524</v>
      </c>
      <c r="E54">
        <f t="shared" ref="E54:E55" si="6">D54*SQRT((C54/B54)^2+(C$25/B$25)^2)</f>
        <v>0.14146401183220703</v>
      </c>
      <c r="F54">
        <f t="shared" ref="F54:F55" si="7">D54-B$26</f>
        <v>5.5582530392751357</v>
      </c>
      <c r="G54">
        <f t="shared" ref="G54:G55" si="8">SQRT(E54^2+C$26^2)</f>
        <v>0.14572084343291944</v>
      </c>
      <c r="H54">
        <f t="shared" ref="H54:H55" si="9">G54/F54*100</f>
        <v>2.6217022219615105</v>
      </c>
    </row>
    <row r="55" spans="1:9" customFormat="1">
      <c r="A55" t="s">
        <v>90</v>
      </c>
      <c r="B55">
        <v>9.2717102057351646</v>
      </c>
      <c r="C55">
        <v>0.17630830927121213</v>
      </c>
      <c r="D55">
        <f t="shared" si="5"/>
        <v>9.0632553330744532</v>
      </c>
      <c r="E55">
        <f t="shared" si="6"/>
        <v>0.17751340679779498</v>
      </c>
      <c r="F55">
        <f t="shared" si="7"/>
        <v>8.6026003966130649</v>
      </c>
      <c r="G55">
        <f t="shared" si="8"/>
        <v>0.18092403698817372</v>
      </c>
      <c r="H55">
        <f t="shared" si="9"/>
        <v>2.1031319443758592</v>
      </c>
    </row>
    <row r="56" spans="1:9">
      <c r="A56" s="2" t="s">
        <v>55</v>
      </c>
      <c r="B56">
        <v>1.7301364755170421</v>
      </c>
      <c r="C56">
        <v>0.11380044825319133</v>
      </c>
      <c r="D56">
        <f>B56/B$25</f>
        <v>1.6912380014829347</v>
      </c>
      <c r="E56">
        <f>D56*SQRT((C56/B56)^2+(C$25/B$25)^2)</f>
        <v>0.11152456216895493</v>
      </c>
      <c r="F56">
        <f>D56-B$26</f>
        <v>1.2305830650215466</v>
      </c>
      <c r="G56">
        <f>SQRT(E56^2+C$26^2)</f>
        <v>0.11687696750906786</v>
      </c>
      <c r="H56">
        <f>G56/F56*100</f>
        <v>9.4976902276012893</v>
      </c>
    </row>
    <row r="57" spans="1:9">
      <c r="A57" s="2" t="s">
        <v>56</v>
      </c>
      <c r="B57">
        <v>1.2502697735566271</v>
      </c>
      <c r="C57">
        <v>7.38003609572946E-2</v>
      </c>
      <c r="D57">
        <f>B57/B$25</f>
        <v>1.2221600914532036</v>
      </c>
      <c r="E57">
        <f>D57*SQRT((C57/B57)^2+(C$25/B$25)^2)</f>
        <v>7.2368672274518028E-2</v>
      </c>
      <c r="F57">
        <f>D57-B$26</f>
        <v>0.76150515499181548</v>
      </c>
      <c r="G57">
        <f>SQRT(E57^2+C$26^2)</f>
        <v>8.0372397587201577E-2</v>
      </c>
      <c r="H57">
        <f>G57/F57*100</f>
        <v>10.554412804738716</v>
      </c>
    </row>
  </sheetData>
  <pageMargins left="0.75" right="0.75" top="1" bottom="1" header="0.5" footer="0.5"/>
  <pageSetup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1B07-846C-414D-A8F4-52D2B1D0DB29}">
  <dimension ref="A1:S60"/>
  <sheetViews>
    <sheetView zoomScale="125" zoomScaleNormal="125" zoomScalePageLayoutView="125" workbookViewId="0">
      <selection activeCell="E24" sqref="E24"/>
    </sheetView>
  </sheetViews>
  <sheetFormatPr baseColWidth="10" defaultRowHeight="16"/>
  <cols>
    <col min="1" max="1" width="31.5" style="1" customWidth="1"/>
    <col min="2" max="2" width="13.83203125" style="1" customWidth="1"/>
    <col min="3" max="7" width="10.83203125" style="1"/>
    <col min="9" max="9" width="10.83203125" style="1"/>
    <col min="10" max="10" width="11.5" style="1" customWidth="1"/>
    <col min="11" max="16384" width="10.83203125" style="1"/>
  </cols>
  <sheetData>
    <row r="1" spans="1:8">
      <c r="A1" s="22" t="s">
        <v>100</v>
      </c>
    </row>
    <row r="2" spans="1:8" s="3" customFormat="1">
      <c r="A2" s="21" t="s">
        <v>26</v>
      </c>
      <c r="H2"/>
    </row>
    <row r="3" spans="1:8" customFormat="1">
      <c r="A3" t="s">
        <v>109</v>
      </c>
    </row>
    <row r="4" spans="1:8" customFormat="1">
      <c r="A4" t="s">
        <v>106</v>
      </c>
    </row>
    <row r="5" spans="1:8">
      <c r="A5" s="9"/>
    </row>
    <row r="6" spans="1:8" s="19" customFormat="1" ht="34">
      <c r="A6" s="20" t="s">
        <v>17</v>
      </c>
      <c r="B6" s="19" t="s">
        <v>16</v>
      </c>
      <c r="C6" s="19" t="s">
        <v>15</v>
      </c>
      <c r="D6" s="19" t="s">
        <v>14</v>
      </c>
      <c r="E6" s="19" t="s">
        <v>13</v>
      </c>
      <c r="H6"/>
    </row>
    <row r="7" spans="1:8" s="42" customFormat="1" ht="17">
      <c r="A7" s="41" t="s">
        <v>101</v>
      </c>
      <c r="B7" s="66">
        <v>133.61331704337201</v>
      </c>
      <c r="C7" s="66">
        <v>0.53217647232488707</v>
      </c>
      <c r="D7" s="42">
        <v>134.08000000000001</v>
      </c>
      <c r="E7" s="42">
        <v>0.46</v>
      </c>
      <c r="F7" s="67" t="s">
        <v>103</v>
      </c>
      <c r="H7"/>
    </row>
    <row r="8" spans="1:8" s="42" customFormat="1" ht="18" thickBot="1">
      <c r="A8" s="41" t="s">
        <v>102</v>
      </c>
      <c r="B8" s="66">
        <v>135.35048869883934</v>
      </c>
      <c r="C8" s="66">
        <v>0.62295469557538374</v>
      </c>
      <c r="D8" s="42">
        <v>134.08000000000001</v>
      </c>
      <c r="E8" s="42">
        <v>0.46</v>
      </c>
      <c r="H8"/>
    </row>
    <row r="9" spans="1:8">
      <c r="A9" s="18" t="s">
        <v>18</v>
      </c>
      <c r="B9" s="11">
        <v>101.29779749158763</v>
      </c>
      <c r="C9" s="11">
        <v>1.8987284250460521</v>
      </c>
      <c r="D9" s="3">
        <v>103.98</v>
      </c>
      <c r="E9" s="3">
        <v>0.04</v>
      </c>
      <c r="F9" s="1" t="s">
        <v>20</v>
      </c>
    </row>
    <row r="10" spans="1:8" ht="17" thickBot="1">
      <c r="A10" s="17" t="s">
        <v>19</v>
      </c>
      <c r="B10" s="11">
        <v>107.94891404099113</v>
      </c>
      <c r="C10" s="11">
        <v>0.67739048721939799</v>
      </c>
      <c r="D10" s="3">
        <v>103.98</v>
      </c>
      <c r="E10" s="3">
        <v>0.04</v>
      </c>
    </row>
    <row r="11" spans="1:8">
      <c r="A11" s="16" t="s">
        <v>21</v>
      </c>
      <c r="B11" s="11">
        <v>50.605974510918095</v>
      </c>
      <c r="C11" s="11">
        <v>0.4977457365568837</v>
      </c>
      <c r="D11" s="3">
        <v>49.53</v>
      </c>
      <c r="E11" s="3">
        <v>0.12</v>
      </c>
    </row>
    <row r="12" spans="1:8" ht="17" thickBot="1">
      <c r="A12" s="15" t="s">
        <v>22</v>
      </c>
      <c r="B12" s="11">
        <v>50.76426658007955</v>
      </c>
      <c r="C12" s="11">
        <v>0.54584196753698533</v>
      </c>
      <c r="D12" s="3">
        <v>49.53</v>
      </c>
      <c r="E12" s="3">
        <v>0.12</v>
      </c>
    </row>
    <row r="13" spans="1:8">
      <c r="A13" s="14" t="s">
        <v>23</v>
      </c>
      <c r="B13" s="11">
        <v>15.660544571096784</v>
      </c>
      <c r="C13" s="11">
        <v>0.25170620113659276</v>
      </c>
      <c r="D13" s="3">
        <v>15.03</v>
      </c>
      <c r="E13" s="3">
        <v>0.17</v>
      </c>
    </row>
    <row r="14" spans="1:8" ht="17" thickBot="1">
      <c r="A14" s="13" t="s">
        <v>24</v>
      </c>
      <c r="B14" s="11">
        <v>16.4024539314855</v>
      </c>
      <c r="C14" s="11">
        <v>0.25600668833716322</v>
      </c>
      <c r="D14" s="3">
        <v>15.03</v>
      </c>
      <c r="E14" s="3">
        <v>0.17</v>
      </c>
    </row>
    <row r="15" spans="1:8">
      <c r="A15" s="12" t="s">
        <v>27</v>
      </c>
      <c r="B15" s="11">
        <v>0.88642598733795586</v>
      </c>
      <c r="C15" s="11">
        <v>0.13760007688951875</v>
      </c>
      <c r="D15" s="3">
        <v>0.24</v>
      </c>
      <c r="E15" s="3">
        <v>0.09</v>
      </c>
    </row>
    <row r="16" spans="1:8">
      <c r="A16" s="10" t="s">
        <v>28</v>
      </c>
      <c r="B16" s="11">
        <v>0.93179077479650285</v>
      </c>
      <c r="C16" s="11">
        <v>7.5700154433398434E-2</v>
      </c>
      <c r="D16" s="3">
        <v>0.24</v>
      </c>
      <c r="E16" s="3">
        <v>0.09</v>
      </c>
    </row>
    <row r="17" spans="1:10">
      <c r="A17" s="10" t="s">
        <v>29</v>
      </c>
      <c r="B17" s="11">
        <v>0.6432393729273439</v>
      </c>
      <c r="C17" s="11">
        <v>5.9800093163212512E-2</v>
      </c>
      <c r="D17" s="3">
        <v>0.24</v>
      </c>
      <c r="E17" s="3">
        <v>0.09</v>
      </c>
    </row>
    <row r="18" spans="1:10">
      <c r="A18" s="10" t="s">
        <v>30</v>
      </c>
      <c r="B18" s="11">
        <v>0.66165963219776902</v>
      </c>
      <c r="C18" s="11">
        <v>5.170011401946388E-2</v>
      </c>
      <c r="D18" s="3">
        <v>0.24</v>
      </c>
      <c r="E18" s="3">
        <v>0.09</v>
      </c>
    </row>
    <row r="19" spans="1:10" customFormat="1"/>
    <row r="20" spans="1:10">
      <c r="A20" s="9"/>
      <c r="B20" s="8"/>
      <c r="C20" s="8"/>
    </row>
    <row r="21" spans="1:10" customFormat="1">
      <c r="A21" t="s">
        <v>31</v>
      </c>
    </row>
    <row r="22" spans="1:10" s="3" customFormat="1">
      <c r="H22"/>
    </row>
    <row r="23" spans="1:10" s="3" customFormat="1">
      <c r="H23"/>
    </row>
    <row r="24" spans="1:10" s="3" customFormat="1">
      <c r="A24" s="3" t="s">
        <v>12</v>
      </c>
      <c r="H24"/>
    </row>
    <row r="25" spans="1:10" s="3" customFormat="1">
      <c r="B25" s="68" t="s">
        <v>104</v>
      </c>
      <c r="H25"/>
      <c r="I25" s="68" t="s">
        <v>105</v>
      </c>
    </row>
    <row r="26" spans="1:10" s="3" customFormat="1">
      <c r="A26"/>
      <c r="B26" t="s">
        <v>11</v>
      </c>
      <c r="C26" t="s">
        <v>10</v>
      </c>
      <c r="H26"/>
      <c r="I26" t="s">
        <v>11</v>
      </c>
      <c r="J26" t="s">
        <v>10</v>
      </c>
    </row>
    <row r="27" spans="1:10" s="3" customFormat="1">
      <c r="A27" t="s">
        <v>9</v>
      </c>
      <c r="B27">
        <v>0.47125</v>
      </c>
      <c r="C27">
        <v>3.5700000000000003E-2</v>
      </c>
      <c r="H27"/>
      <c r="I27" s="3">
        <v>0.48898000000000003</v>
      </c>
      <c r="J27" s="3">
        <v>3.5000000000000003E-2</v>
      </c>
    </row>
    <row r="28" spans="1:10" s="3" customFormat="1">
      <c r="A28" t="s">
        <v>8</v>
      </c>
      <c r="B28">
        <v>1.0229999999999999</v>
      </c>
      <c r="C28">
        <v>4.7999999999999996E-3</v>
      </c>
      <c r="H28"/>
      <c r="I28" s="3">
        <v>1.006</v>
      </c>
      <c r="J28" s="3">
        <v>2.66E-3</v>
      </c>
    </row>
    <row r="29" spans="1:10" s="3" customFormat="1">
      <c r="A29" t="s">
        <v>7</v>
      </c>
      <c r="B29">
        <f>B27/B28</f>
        <v>0.46065493646138811</v>
      </c>
      <c r="C29">
        <f>B29*SQRT((C27/B27)^2+(C28/B28)^2)</f>
        <v>3.4964232683395345E-2</v>
      </c>
      <c r="H29"/>
      <c r="I29">
        <f>I27/I28</f>
        <v>0.48606361829025846</v>
      </c>
      <c r="J29">
        <f>I29*SQRT((J27/I27)^2+(J28/I28)^2)</f>
        <v>3.4814982903569047E-2</v>
      </c>
    </row>
    <row r="30" spans="1:10" s="3" customFormat="1">
      <c r="H30"/>
    </row>
    <row r="31" spans="1:10" s="3" customFormat="1">
      <c r="A31" s="3" t="s">
        <v>6</v>
      </c>
      <c r="H31"/>
    </row>
    <row r="33" spans="1:18" s="3" customFormat="1" ht="86" thickBot="1">
      <c r="A33" s="3" t="s">
        <v>5</v>
      </c>
      <c r="B33" s="7" t="s">
        <v>4</v>
      </c>
      <c r="C33" s="3" t="s">
        <v>1</v>
      </c>
      <c r="D33" s="6" t="s">
        <v>3</v>
      </c>
      <c r="E33" t="s">
        <v>1</v>
      </c>
      <c r="F33" s="6" t="s">
        <v>2</v>
      </c>
      <c r="G33" t="s">
        <v>1</v>
      </c>
      <c r="H33"/>
      <c r="I33" s="7" t="s">
        <v>4</v>
      </c>
      <c r="J33" s="3" t="s">
        <v>1</v>
      </c>
      <c r="K33" s="6" t="s">
        <v>3</v>
      </c>
      <c r="L33" t="s">
        <v>1</v>
      </c>
      <c r="M33" s="6" t="s">
        <v>2</v>
      </c>
      <c r="N33" t="s">
        <v>1</v>
      </c>
      <c r="P33" s="7" t="s">
        <v>107</v>
      </c>
      <c r="Q33" s="3" t="s">
        <v>1</v>
      </c>
      <c r="R33" s="3" t="s">
        <v>108</v>
      </c>
    </row>
    <row r="34" spans="1:18" s="3" customFormat="1">
      <c r="A34" s="5" t="s">
        <v>32</v>
      </c>
      <c r="B34">
        <v>11.299988715014596</v>
      </c>
      <c r="C34">
        <v>0.18671165477596013</v>
      </c>
      <c r="D34">
        <f t="shared" ref="D34:D58" si="0">B34/B$28</f>
        <v>11.045932272741542</v>
      </c>
      <c r="E34">
        <f t="shared" ref="E34:E58" si="1">D34*SQRT((C34/B34)^2+(C$28/B$28)^2)</f>
        <v>0.18973003392512117</v>
      </c>
      <c r="F34">
        <f t="shared" ref="F34:F58" si="2">D34-B$29</f>
        <v>10.585277336280154</v>
      </c>
      <c r="G34">
        <f t="shared" ref="G34:G58" si="3">SQRT(E34^2+C$29^2)</f>
        <v>0.19292481266121847</v>
      </c>
      <c r="H34"/>
      <c r="I34" s="3">
        <f>B34</f>
        <v>11.299988715014596</v>
      </c>
      <c r="J34" s="3">
        <f>C34</f>
        <v>0.18671165477596013</v>
      </c>
      <c r="K34">
        <f t="shared" ref="K34" si="4">I34/I$28</f>
        <v>11.232593156078128</v>
      </c>
      <c r="L34">
        <f t="shared" ref="L34" si="5">K34*SQRT((J34/I34)^2+(J$28/I$28)^2)</f>
        <v>0.18795946806708266</v>
      </c>
      <c r="M34">
        <f t="shared" ref="M34" si="6">K34-I$29</f>
        <v>10.74652953778787</v>
      </c>
      <c r="N34">
        <f t="shared" ref="N34" si="7">SQRT(L34^2+J$29^2)</f>
        <v>0.19115659724591372</v>
      </c>
      <c r="P34" s="3">
        <f>AVERAGE(F34,M34)</f>
        <v>10.665903437034011</v>
      </c>
      <c r="Q34" s="3">
        <f>(M34+N34-F34+G34)/2</f>
        <v>0.27266680570742463</v>
      </c>
      <c r="R34" s="3">
        <f>Q34/P34*100</f>
        <v>2.5564342234777273</v>
      </c>
    </row>
    <row r="35" spans="1:18" s="3" customFormat="1">
      <c r="A35" s="2" t="s">
        <v>33</v>
      </c>
      <c r="B35">
        <v>11.819202052723243</v>
      </c>
      <c r="C35">
        <v>0.31420757653581372</v>
      </c>
      <c r="D35">
        <f t="shared" si="0"/>
        <v>11.553472192300337</v>
      </c>
      <c r="E35">
        <f t="shared" si="1"/>
        <v>0.31189052868195954</v>
      </c>
      <c r="F35">
        <f t="shared" si="2"/>
        <v>11.092817255838948</v>
      </c>
      <c r="G35">
        <f t="shared" si="3"/>
        <v>0.31384422799957762</v>
      </c>
      <c r="H35"/>
      <c r="I35" s="3">
        <f t="shared" ref="I35:I60" si="8">B35</f>
        <v>11.819202052723243</v>
      </c>
      <c r="J35" s="3">
        <f t="shared" ref="J35:J60" si="9">C35</f>
        <v>0.31420757653581372</v>
      </c>
      <c r="K35">
        <f t="shared" ref="K35:K60" si="10">I35/I$28</f>
        <v>11.748709793959486</v>
      </c>
      <c r="L35">
        <f t="shared" ref="L35:L60" si="11">K35*SQRT((J35/I35)^2+(J$28/I$28)^2)</f>
        <v>0.31387466821485527</v>
      </c>
      <c r="M35">
        <f t="shared" ref="M35:M60" si="12">K35-I$29</f>
        <v>11.262646175669229</v>
      </c>
      <c r="N35">
        <f t="shared" ref="N35:N60" si="13">SQRT(L35^2+J$29^2)</f>
        <v>0.31579960478373192</v>
      </c>
      <c r="P35" s="3">
        <f t="shared" ref="P35:P60" si="14">AVERAGE(F35,M35)</f>
        <v>11.177731715754089</v>
      </c>
      <c r="Q35" s="3">
        <f t="shared" ref="Q35:Q60" si="15">(M35+N35-F35+G35)/2</f>
        <v>0.39973637630679526</v>
      </c>
      <c r="R35" s="3">
        <f t="shared" ref="R35:R60" si="16">Q35/P35*100</f>
        <v>3.5761851015210886</v>
      </c>
    </row>
    <row r="36" spans="1:18" s="3" customFormat="1">
      <c r="A36" s="2" t="s">
        <v>34</v>
      </c>
      <c r="B36">
        <v>117.68497625212633</v>
      </c>
      <c r="C36">
        <v>0.71862850551621937</v>
      </c>
      <c r="D36">
        <f t="shared" si="0"/>
        <v>115.03907747030924</v>
      </c>
      <c r="E36">
        <f t="shared" si="1"/>
        <v>0.8859012938141726</v>
      </c>
      <c r="F36">
        <f t="shared" si="2"/>
        <v>114.57842253384786</v>
      </c>
      <c r="G36">
        <f t="shared" si="3"/>
        <v>0.88659099924867479</v>
      </c>
      <c r="H36"/>
      <c r="I36" s="3">
        <f t="shared" si="8"/>
        <v>117.68497625212633</v>
      </c>
      <c r="J36" s="3">
        <f t="shared" si="9"/>
        <v>0.71862850551621937</v>
      </c>
      <c r="K36">
        <f t="shared" si="10"/>
        <v>116.98307778541385</v>
      </c>
      <c r="L36">
        <f t="shared" si="11"/>
        <v>0.77843652639605943</v>
      </c>
      <c r="M36">
        <f t="shared" si="12"/>
        <v>116.4970141671236</v>
      </c>
      <c r="N36">
        <f t="shared" si="13"/>
        <v>0.77921467431134706</v>
      </c>
      <c r="P36" s="3">
        <f t="shared" si="14"/>
        <v>115.53771835048573</v>
      </c>
      <c r="Q36" s="3">
        <f t="shared" si="15"/>
        <v>1.7921986534178806</v>
      </c>
      <c r="R36" s="3">
        <f t="shared" si="16"/>
        <v>1.5511805832803569</v>
      </c>
    </row>
    <row r="37" spans="1:18" s="3" customFormat="1">
      <c r="A37" s="2" t="s">
        <v>35</v>
      </c>
      <c r="B37">
        <v>138.17970585191497</v>
      </c>
      <c r="C37">
        <v>1.5643080179998561</v>
      </c>
      <c r="D37">
        <f t="shared" si="0"/>
        <v>135.07302624820625</v>
      </c>
      <c r="E37">
        <f t="shared" si="1"/>
        <v>1.6552739041519895</v>
      </c>
      <c r="F37">
        <f t="shared" si="2"/>
        <v>134.61237131174485</v>
      </c>
      <c r="G37">
        <f t="shared" si="3"/>
        <v>1.6556431364680337</v>
      </c>
      <c r="H37"/>
      <c r="I37" s="3">
        <f t="shared" si="8"/>
        <v>138.17970585191497</v>
      </c>
      <c r="J37" s="3">
        <f t="shared" si="9"/>
        <v>1.5643080179998561</v>
      </c>
      <c r="K37">
        <f t="shared" si="10"/>
        <v>137.35557241741051</v>
      </c>
      <c r="L37">
        <f t="shared" si="11"/>
        <v>1.5968286147881949</v>
      </c>
      <c r="M37">
        <f t="shared" si="12"/>
        <v>136.86950879912027</v>
      </c>
      <c r="N37">
        <f t="shared" si="13"/>
        <v>1.5972080979136567</v>
      </c>
      <c r="P37" s="3">
        <f t="shared" si="14"/>
        <v>135.74094005543256</v>
      </c>
      <c r="Q37" s="3">
        <f t="shared" si="15"/>
        <v>2.7549943608785576</v>
      </c>
      <c r="R37" s="3">
        <f t="shared" si="16"/>
        <v>2.0295972311327</v>
      </c>
    </row>
    <row r="38" spans="1:18" s="3" customFormat="1">
      <c r="A38" s="2" t="s">
        <v>36</v>
      </c>
      <c r="B38">
        <v>155.36850677801186</v>
      </c>
      <c r="C38">
        <v>0.95243201247643439</v>
      </c>
      <c r="D38">
        <f t="shared" si="0"/>
        <v>151.8753731945375</v>
      </c>
      <c r="E38">
        <f t="shared" si="1"/>
        <v>1.1724380886029633</v>
      </c>
      <c r="F38">
        <f t="shared" si="2"/>
        <v>151.41471825807611</v>
      </c>
      <c r="G38">
        <f t="shared" si="3"/>
        <v>1.172959321193241</v>
      </c>
      <c r="H38"/>
      <c r="I38" s="3">
        <f t="shared" si="8"/>
        <v>155.36850677801186</v>
      </c>
      <c r="J38" s="3">
        <f t="shared" si="9"/>
        <v>0.95243201247643439</v>
      </c>
      <c r="K38">
        <f t="shared" si="10"/>
        <v>154.44185564414698</v>
      </c>
      <c r="L38">
        <f t="shared" si="11"/>
        <v>1.0310676510602712</v>
      </c>
      <c r="M38">
        <f t="shared" si="12"/>
        <v>153.95579202585674</v>
      </c>
      <c r="N38">
        <f t="shared" si="13"/>
        <v>1.0316552641738039</v>
      </c>
      <c r="P38" s="3">
        <f t="shared" si="14"/>
        <v>152.68525514196642</v>
      </c>
      <c r="Q38" s="3">
        <f t="shared" si="15"/>
        <v>2.3728441765738326</v>
      </c>
      <c r="R38" s="3">
        <f t="shared" si="16"/>
        <v>1.5540755224645413</v>
      </c>
    </row>
    <row r="39" spans="1:18" s="3" customFormat="1">
      <c r="A39" s="2" t="s">
        <v>37</v>
      </c>
      <c r="B39">
        <v>90.933320297528383</v>
      </c>
      <c r="C39">
        <v>1.248312888074226</v>
      </c>
      <c r="D39">
        <f t="shared" si="0"/>
        <v>88.888876146166567</v>
      </c>
      <c r="E39">
        <f t="shared" si="1"/>
        <v>1.2895556900739935</v>
      </c>
      <c r="F39">
        <f t="shared" si="2"/>
        <v>88.428221209705185</v>
      </c>
      <c r="G39">
        <f t="shared" si="3"/>
        <v>1.2900296025166835</v>
      </c>
      <c r="H39"/>
      <c r="I39" s="3">
        <f t="shared" si="8"/>
        <v>90.933320297528383</v>
      </c>
      <c r="J39" s="3">
        <f t="shared" si="9"/>
        <v>1.248312888074226</v>
      </c>
      <c r="K39">
        <f t="shared" si="10"/>
        <v>90.390974450823435</v>
      </c>
      <c r="L39">
        <f t="shared" si="11"/>
        <v>1.2636757698617727</v>
      </c>
      <c r="M39">
        <f t="shared" si="12"/>
        <v>89.904910832533176</v>
      </c>
      <c r="N39">
        <f t="shared" si="13"/>
        <v>1.2641552651357031</v>
      </c>
      <c r="P39" s="3">
        <f t="shared" si="14"/>
        <v>89.166566021119181</v>
      </c>
      <c r="Q39" s="3">
        <f t="shared" si="15"/>
        <v>2.0154372452401863</v>
      </c>
      <c r="R39" s="3">
        <f t="shared" si="16"/>
        <v>2.2603060038925671</v>
      </c>
    </row>
    <row r="40" spans="1:18" s="3" customFormat="1">
      <c r="A40" s="2" t="s">
        <v>38</v>
      </c>
      <c r="B40">
        <v>4.6835679691550665</v>
      </c>
      <c r="C40">
        <v>0.12490299289717177</v>
      </c>
      <c r="D40">
        <f t="shared" si="0"/>
        <v>4.5782678095357445</v>
      </c>
      <c r="E40">
        <f t="shared" si="1"/>
        <v>0.12397016848196847</v>
      </c>
      <c r="F40">
        <f t="shared" si="2"/>
        <v>4.1176128730743562</v>
      </c>
      <c r="G40">
        <f t="shared" si="3"/>
        <v>0.12880644487208806</v>
      </c>
      <c r="H40"/>
      <c r="I40" s="3">
        <f t="shared" si="8"/>
        <v>4.6835679691550665</v>
      </c>
      <c r="J40" s="3">
        <f t="shared" si="9"/>
        <v>0.12490299289717177</v>
      </c>
      <c r="K40">
        <f t="shared" si="10"/>
        <v>4.6556341641700465</v>
      </c>
      <c r="L40">
        <f t="shared" si="11"/>
        <v>0.12476681951257942</v>
      </c>
      <c r="M40">
        <f t="shared" si="12"/>
        <v>4.1695705458797878</v>
      </c>
      <c r="N40">
        <f t="shared" si="13"/>
        <v>0.12953317060066263</v>
      </c>
      <c r="P40" s="3">
        <f t="shared" si="14"/>
        <v>4.1435917094770716</v>
      </c>
      <c r="Q40" s="3">
        <f t="shared" si="15"/>
        <v>0.15514864413909124</v>
      </c>
      <c r="R40" s="3">
        <f t="shared" si="16"/>
        <v>3.7443033729467343</v>
      </c>
    </row>
    <row r="41" spans="1:18" s="4" customFormat="1">
      <c r="A41" s="2" t="s">
        <v>39</v>
      </c>
      <c r="B41">
        <v>129.63093937362609</v>
      </c>
      <c r="C41">
        <v>1.0143823461581651</v>
      </c>
      <c r="D41">
        <f t="shared" si="0"/>
        <v>126.71646077578309</v>
      </c>
      <c r="E41">
        <f t="shared" si="1"/>
        <v>1.1561702082014622</v>
      </c>
      <c r="F41">
        <f t="shared" si="2"/>
        <v>126.25580583932171</v>
      </c>
      <c r="G41">
        <f t="shared" si="3"/>
        <v>1.1566987714611574</v>
      </c>
      <c r="H41"/>
      <c r="I41" s="3">
        <f t="shared" si="8"/>
        <v>129.63093937362609</v>
      </c>
      <c r="J41" s="3">
        <f t="shared" si="9"/>
        <v>1.0143823461581651</v>
      </c>
      <c r="K41">
        <f t="shared" si="10"/>
        <v>128.85779261791859</v>
      </c>
      <c r="L41">
        <f t="shared" si="11"/>
        <v>1.0643413433092963</v>
      </c>
      <c r="M41">
        <f t="shared" si="12"/>
        <v>128.37172899962835</v>
      </c>
      <c r="N41">
        <f t="shared" si="13"/>
        <v>1.0649105962999961</v>
      </c>
      <c r="P41" s="3">
        <f t="shared" si="14"/>
        <v>127.31376741947503</v>
      </c>
      <c r="Q41" s="3">
        <f t="shared" si="15"/>
        <v>2.1687662640338945</v>
      </c>
      <c r="R41" s="3">
        <f t="shared" si="16"/>
        <v>1.7034813343385053</v>
      </c>
    </row>
    <row r="42" spans="1:18" s="3" customFormat="1">
      <c r="A42" s="2" t="s">
        <v>40</v>
      </c>
      <c r="B42">
        <v>171.97927723048775</v>
      </c>
      <c r="C42">
        <v>1.3754664931564666</v>
      </c>
      <c r="D42">
        <f t="shared" si="0"/>
        <v>168.11268546479744</v>
      </c>
      <c r="E42">
        <f t="shared" si="1"/>
        <v>1.5588445634151107</v>
      </c>
      <c r="F42">
        <f t="shared" si="2"/>
        <v>167.65203052833604</v>
      </c>
      <c r="G42">
        <f t="shared" si="3"/>
        <v>1.5592366306805345</v>
      </c>
      <c r="H42"/>
      <c r="I42" s="3">
        <f t="shared" si="8"/>
        <v>171.97927723048775</v>
      </c>
      <c r="J42" s="3">
        <f t="shared" si="9"/>
        <v>1.3754664931564666</v>
      </c>
      <c r="K42">
        <f t="shared" si="10"/>
        <v>170.95355589511706</v>
      </c>
      <c r="L42">
        <f t="shared" si="11"/>
        <v>1.4400464783860258</v>
      </c>
      <c r="M42">
        <f t="shared" si="12"/>
        <v>170.46749227682682</v>
      </c>
      <c r="N42">
        <f t="shared" si="13"/>
        <v>1.4404672654894213</v>
      </c>
      <c r="P42" s="3">
        <f t="shared" si="14"/>
        <v>169.05976140258144</v>
      </c>
      <c r="Q42" s="3">
        <f t="shared" si="15"/>
        <v>2.9075828223303639</v>
      </c>
      <c r="R42" s="3">
        <f t="shared" si="16"/>
        <v>1.719855037182116</v>
      </c>
    </row>
    <row r="43" spans="1:18" s="3" customFormat="1">
      <c r="A43" s="2" t="s">
        <v>41</v>
      </c>
      <c r="B43">
        <v>108.7001516972462</v>
      </c>
      <c r="C43">
        <v>0.64391278399995633</v>
      </c>
      <c r="D43">
        <f t="shared" si="0"/>
        <v>106.25625776856911</v>
      </c>
      <c r="E43">
        <f t="shared" si="1"/>
        <v>0.80296608201236863</v>
      </c>
      <c r="F43">
        <f t="shared" si="2"/>
        <v>105.79560283210773</v>
      </c>
      <c r="G43">
        <f t="shared" si="3"/>
        <v>0.80372696012354383</v>
      </c>
      <c r="H43"/>
      <c r="I43" s="3">
        <f t="shared" si="8"/>
        <v>108.7001516972462</v>
      </c>
      <c r="J43" s="3">
        <f t="shared" si="9"/>
        <v>0.64391278399995633</v>
      </c>
      <c r="K43">
        <f t="shared" si="10"/>
        <v>108.05184065332624</v>
      </c>
      <c r="L43">
        <f t="shared" si="11"/>
        <v>0.70094165413222498</v>
      </c>
      <c r="M43">
        <f t="shared" si="12"/>
        <v>107.56577703503598</v>
      </c>
      <c r="N43">
        <f t="shared" si="13"/>
        <v>0.70180573204569618</v>
      </c>
      <c r="P43" s="3">
        <f t="shared" si="14"/>
        <v>106.68068993357186</v>
      </c>
      <c r="Q43" s="3">
        <f t="shared" si="15"/>
        <v>1.6378534475487443</v>
      </c>
      <c r="R43" s="3">
        <f t="shared" si="16"/>
        <v>1.5352857659325283</v>
      </c>
    </row>
    <row r="44" spans="1:18" s="3" customFormat="1">
      <c r="A44" s="2" t="s">
        <v>42</v>
      </c>
      <c r="B44">
        <v>4.7660133682873189</v>
      </c>
      <c r="C44">
        <v>0.24820155959973905</v>
      </c>
      <c r="D44">
        <f t="shared" si="0"/>
        <v>4.6588595975438114</v>
      </c>
      <c r="E44">
        <f t="shared" si="1"/>
        <v>0.2436040426369101</v>
      </c>
      <c r="F44">
        <f t="shared" si="2"/>
        <v>4.1982046610824231</v>
      </c>
      <c r="G44">
        <f t="shared" si="3"/>
        <v>0.24610044119461494</v>
      </c>
      <c r="H44"/>
      <c r="I44" s="3">
        <f t="shared" si="8"/>
        <v>4.7660133682873189</v>
      </c>
      <c r="J44" s="3">
        <f t="shared" si="9"/>
        <v>0.24820155959973905</v>
      </c>
      <c r="K44">
        <f t="shared" si="10"/>
        <v>4.73758784123988</v>
      </c>
      <c r="L44">
        <f t="shared" si="11"/>
        <v>0.24703904085991421</v>
      </c>
      <c r="M44">
        <f t="shared" si="12"/>
        <v>4.2515242229496213</v>
      </c>
      <c r="N44">
        <f t="shared" si="13"/>
        <v>0.24948020110534255</v>
      </c>
      <c r="P44" s="3">
        <f t="shared" si="14"/>
        <v>4.2248644420160222</v>
      </c>
      <c r="Q44" s="3">
        <f t="shared" si="15"/>
        <v>0.27445010208357773</v>
      </c>
      <c r="R44" s="3">
        <f t="shared" si="16"/>
        <v>6.4960688289590545</v>
      </c>
    </row>
    <row r="45" spans="1:18">
      <c r="A45" s="2" t="s">
        <v>43</v>
      </c>
      <c r="B45">
        <v>100.60366871235196</v>
      </c>
      <c r="C45">
        <v>1.1439507838065202</v>
      </c>
      <c r="D45">
        <f t="shared" si="0"/>
        <v>98.34180714794914</v>
      </c>
      <c r="E45">
        <f t="shared" si="1"/>
        <v>1.2096930374001857</v>
      </c>
      <c r="F45">
        <f t="shared" si="2"/>
        <v>97.881152211487759</v>
      </c>
      <c r="G45">
        <f t="shared" si="3"/>
        <v>1.2101982243837683</v>
      </c>
      <c r="I45" s="3">
        <f t="shared" si="8"/>
        <v>100.60366871235196</v>
      </c>
      <c r="J45" s="3">
        <f t="shared" si="9"/>
        <v>1.1439507838065202</v>
      </c>
      <c r="K45">
        <f t="shared" si="10"/>
        <v>100.00364683136378</v>
      </c>
      <c r="L45">
        <f t="shared" si="11"/>
        <v>1.1674672297367374</v>
      </c>
      <c r="M45">
        <f t="shared" si="12"/>
        <v>99.517583213073522</v>
      </c>
      <c r="N45">
        <f t="shared" si="13"/>
        <v>1.1679862223261659</v>
      </c>
      <c r="P45" s="3">
        <f t="shared" si="14"/>
        <v>98.699367712280633</v>
      </c>
      <c r="Q45" s="3">
        <f t="shared" si="15"/>
        <v>2.0073077241478474</v>
      </c>
      <c r="R45" s="3">
        <f t="shared" si="16"/>
        <v>2.0337594562909129</v>
      </c>
    </row>
    <row r="46" spans="1:18">
      <c r="A46" s="2" t="s">
        <v>44</v>
      </c>
      <c r="B46">
        <v>127.26811305163167</v>
      </c>
      <c r="C46">
        <v>0.69799556276956543</v>
      </c>
      <c r="D46">
        <f t="shared" si="0"/>
        <v>124.40675762622843</v>
      </c>
      <c r="E46">
        <f t="shared" si="1"/>
        <v>0.89792746249609967</v>
      </c>
      <c r="F46">
        <f t="shared" si="2"/>
        <v>123.94610268976705</v>
      </c>
      <c r="G46">
        <f t="shared" si="3"/>
        <v>0.89860793757445911</v>
      </c>
      <c r="I46" s="3">
        <f t="shared" si="8"/>
        <v>127.26811305163167</v>
      </c>
      <c r="J46" s="3">
        <f t="shared" si="9"/>
        <v>0.69799556276956543</v>
      </c>
      <c r="K46">
        <f t="shared" si="10"/>
        <v>126.50905869943506</v>
      </c>
      <c r="L46">
        <f t="shared" si="11"/>
        <v>0.77025878806447279</v>
      </c>
      <c r="M46">
        <f t="shared" si="12"/>
        <v>126.0229950811448</v>
      </c>
      <c r="N46">
        <f t="shared" si="13"/>
        <v>0.77104518909408037</v>
      </c>
      <c r="P46" s="3">
        <f t="shared" si="14"/>
        <v>124.98454888545592</v>
      </c>
      <c r="Q46" s="3">
        <f t="shared" si="15"/>
        <v>1.8732727590231475</v>
      </c>
      <c r="R46" s="3">
        <f t="shared" si="16"/>
        <v>1.4988034726916031</v>
      </c>
    </row>
    <row r="47" spans="1:18" customFormat="1">
      <c r="A47" s="2" t="s">
        <v>45</v>
      </c>
      <c r="B47">
        <v>143.99043324463091</v>
      </c>
      <c r="C47">
        <v>1.923683679265475</v>
      </c>
      <c r="D47">
        <f t="shared" si="0"/>
        <v>140.75311167608106</v>
      </c>
      <c r="E47">
        <f t="shared" si="1"/>
        <v>1.9930359514992089</v>
      </c>
      <c r="F47">
        <f t="shared" si="2"/>
        <v>140.29245673961967</v>
      </c>
      <c r="G47">
        <f t="shared" si="3"/>
        <v>1.9933426202074482</v>
      </c>
      <c r="I47" s="3">
        <f t="shared" si="8"/>
        <v>143.99043324463091</v>
      </c>
      <c r="J47" s="3">
        <f t="shared" si="9"/>
        <v>1.923683679265475</v>
      </c>
      <c r="K47">
        <f t="shared" si="10"/>
        <v>143.13164338432495</v>
      </c>
      <c r="L47">
        <f t="shared" si="11"/>
        <v>1.9493024923598432</v>
      </c>
      <c r="M47">
        <f t="shared" si="12"/>
        <v>142.6455797660347</v>
      </c>
      <c r="N47">
        <f t="shared" si="13"/>
        <v>1.9496133693004039</v>
      </c>
      <c r="P47" s="3">
        <f t="shared" si="14"/>
        <v>141.4690182528272</v>
      </c>
      <c r="Q47" s="3">
        <f t="shared" si="15"/>
        <v>3.1480395079614452</v>
      </c>
      <c r="R47" s="3">
        <f t="shared" si="16"/>
        <v>2.2252501267347511</v>
      </c>
    </row>
    <row r="48" spans="1:18" customFormat="1">
      <c r="A48" s="2" t="s">
        <v>46</v>
      </c>
      <c r="B48">
        <v>126.89290028805314</v>
      </c>
      <c r="C48">
        <v>1.1222445345620879</v>
      </c>
      <c r="D48">
        <f t="shared" si="0"/>
        <v>124.03998073123475</v>
      </c>
      <c r="E48">
        <f t="shared" si="1"/>
        <v>1.2418408711076581</v>
      </c>
      <c r="F48">
        <f t="shared" si="2"/>
        <v>123.57932579477337</v>
      </c>
      <c r="G48">
        <f t="shared" si="3"/>
        <v>1.2423329854433416</v>
      </c>
      <c r="I48" s="3">
        <f t="shared" si="8"/>
        <v>126.89290028805314</v>
      </c>
      <c r="J48" s="3">
        <f t="shared" si="9"/>
        <v>1.1222445345620879</v>
      </c>
      <c r="K48">
        <f t="shared" si="10"/>
        <v>126.1360837853411</v>
      </c>
      <c r="L48">
        <f t="shared" si="11"/>
        <v>1.1643413172437995</v>
      </c>
      <c r="M48">
        <f t="shared" si="12"/>
        <v>125.65002016705084</v>
      </c>
      <c r="N48">
        <f t="shared" si="13"/>
        <v>1.1648617025533985</v>
      </c>
      <c r="P48" s="3">
        <f t="shared" si="14"/>
        <v>124.6146729809121</v>
      </c>
      <c r="Q48" s="3">
        <f t="shared" si="15"/>
        <v>2.2389445301371045</v>
      </c>
      <c r="R48" s="3">
        <f t="shared" si="16"/>
        <v>1.7966941424948053</v>
      </c>
    </row>
    <row r="49" spans="1:19" customFormat="1">
      <c r="A49" s="2" t="s">
        <v>47</v>
      </c>
      <c r="B49">
        <v>143.78761553458847</v>
      </c>
      <c r="C49">
        <v>1.1644026230547475</v>
      </c>
      <c r="D49">
        <f t="shared" si="0"/>
        <v>140.55485389500339</v>
      </c>
      <c r="E49">
        <f t="shared" si="1"/>
        <v>1.3154794718588962</v>
      </c>
      <c r="F49">
        <f t="shared" si="2"/>
        <v>140.09419895854199</v>
      </c>
      <c r="G49">
        <f t="shared" si="3"/>
        <v>1.315944048373372</v>
      </c>
      <c r="I49" s="3">
        <f t="shared" si="8"/>
        <v>143.78761553458847</v>
      </c>
      <c r="J49" s="3">
        <f t="shared" si="9"/>
        <v>1.1644026230547475</v>
      </c>
      <c r="K49">
        <f t="shared" si="10"/>
        <v>142.93003532265254</v>
      </c>
      <c r="L49">
        <f t="shared" si="11"/>
        <v>1.2175947805613847</v>
      </c>
      <c r="M49">
        <f t="shared" si="12"/>
        <v>142.4439717043623</v>
      </c>
      <c r="N49">
        <f t="shared" si="13"/>
        <v>1.2180924154943673</v>
      </c>
      <c r="P49" s="3">
        <f t="shared" si="14"/>
        <v>141.26908533145215</v>
      </c>
      <c r="Q49" s="3">
        <f t="shared" si="15"/>
        <v>2.4419046048440216</v>
      </c>
      <c r="R49" s="3">
        <f t="shared" si="16"/>
        <v>1.7285484641701407</v>
      </c>
    </row>
    <row r="50" spans="1:19" customFormat="1">
      <c r="A50" s="2" t="s">
        <v>48</v>
      </c>
      <c r="B50">
        <v>4.0441851382462719</v>
      </c>
      <c r="C50">
        <v>0.11950233236060574</v>
      </c>
      <c r="D50">
        <f t="shared" si="0"/>
        <v>3.9532601546884383</v>
      </c>
      <c r="E50">
        <f t="shared" si="1"/>
        <v>0.11827909601717758</v>
      </c>
      <c r="F50">
        <f t="shared" si="2"/>
        <v>3.4926052182270499</v>
      </c>
      <c r="G50">
        <f t="shared" si="3"/>
        <v>0.12333872920449328</v>
      </c>
      <c r="I50" s="3">
        <f t="shared" si="8"/>
        <v>4.0441851382462719</v>
      </c>
      <c r="J50" s="3">
        <f t="shared" si="9"/>
        <v>0.11950233236060574</v>
      </c>
      <c r="K50">
        <f t="shared" si="10"/>
        <v>4.0200647497477853</v>
      </c>
      <c r="L50">
        <f t="shared" si="11"/>
        <v>0.11926422813896675</v>
      </c>
      <c r="M50">
        <f t="shared" si="12"/>
        <v>3.5340011314575266</v>
      </c>
      <c r="N50">
        <f t="shared" si="13"/>
        <v>0.12424185747226783</v>
      </c>
      <c r="P50" s="3">
        <f t="shared" si="14"/>
        <v>3.5133031748422883</v>
      </c>
      <c r="Q50" s="3">
        <f t="shared" si="15"/>
        <v>0.14448824995361892</v>
      </c>
      <c r="R50" s="3">
        <f t="shared" si="16"/>
        <v>4.112604086896229</v>
      </c>
    </row>
    <row r="51" spans="1:19" customFormat="1">
      <c r="A51" s="2" t="s">
        <v>49</v>
      </c>
      <c r="B51">
        <v>149.44622964477259</v>
      </c>
      <c r="C51">
        <v>1.2774979656098322</v>
      </c>
      <c r="D51">
        <f t="shared" si="0"/>
        <v>146.08624598706999</v>
      </c>
      <c r="E51">
        <f t="shared" si="1"/>
        <v>1.4245285721571828</v>
      </c>
      <c r="F51">
        <f t="shared" si="2"/>
        <v>145.62559105060859</v>
      </c>
      <c r="G51">
        <f t="shared" si="3"/>
        <v>1.4249575960214818</v>
      </c>
      <c r="I51" s="3">
        <f t="shared" si="8"/>
        <v>149.44622964477259</v>
      </c>
      <c r="J51" s="3">
        <f t="shared" si="9"/>
        <v>1.2774979656098322</v>
      </c>
      <c r="K51">
        <f t="shared" si="10"/>
        <v>148.55490024331272</v>
      </c>
      <c r="L51">
        <f t="shared" si="11"/>
        <v>1.3292415651045399</v>
      </c>
      <c r="M51">
        <f t="shared" si="12"/>
        <v>148.06883662502247</v>
      </c>
      <c r="N51">
        <f t="shared" si="13"/>
        <v>1.3296974172480529</v>
      </c>
      <c r="P51" s="3">
        <f t="shared" si="14"/>
        <v>146.84721383781553</v>
      </c>
      <c r="Q51" s="3">
        <f t="shared" si="15"/>
        <v>2.5989502938417015</v>
      </c>
      <c r="R51" s="3">
        <f t="shared" si="16"/>
        <v>1.7698328936033445</v>
      </c>
    </row>
    <row r="52" spans="1:19" s="24" customFormat="1">
      <c r="A52" s="23" t="s">
        <v>50</v>
      </c>
      <c r="B52" s="24">
        <v>92.673496249692519</v>
      </c>
      <c r="C52" s="24">
        <v>7.9096185038393614</v>
      </c>
      <c r="D52" s="24">
        <f t="shared" si="0"/>
        <v>90.589927907812836</v>
      </c>
      <c r="E52" s="24">
        <f t="shared" si="1"/>
        <v>7.7434622991850111</v>
      </c>
      <c r="F52" s="24">
        <f t="shared" si="2"/>
        <v>90.129272971351455</v>
      </c>
      <c r="G52" s="24">
        <f t="shared" si="3"/>
        <v>7.743541236183014</v>
      </c>
      <c r="I52" s="24">
        <f t="shared" si="8"/>
        <v>92.673496249692519</v>
      </c>
      <c r="J52" s="24">
        <f t="shared" si="9"/>
        <v>7.9096185038393614</v>
      </c>
      <c r="K52" s="24">
        <f t="shared" si="10"/>
        <v>92.120771619972686</v>
      </c>
      <c r="L52" s="24">
        <f t="shared" si="11"/>
        <v>7.8662160061801902</v>
      </c>
      <c r="M52" s="24">
        <f t="shared" si="12"/>
        <v>91.634708001682426</v>
      </c>
      <c r="N52" s="24">
        <f t="shared" si="13"/>
        <v>7.8662930493924517</v>
      </c>
      <c r="P52" s="24">
        <f t="shared" si="14"/>
        <v>90.881990486516941</v>
      </c>
      <c r="Q52" s="24">
        <f t="shared" si="15"/>
        <v>8.5576346579532192</v>
      </c>
      <c r="R52" s="24">
        <f t="shared" si="16"/>
        <v>9.4162051382697349</v>
      </c>
      <c r="S52" s="24" t="s">
        <v>97</v>
      </c>
    </row>
    <row r="53" spans="1:19">
      <c r="A53" s="2" t="s">
        <v>51</v>
      </c>
      <c r="B53">
        <v>123.12049088126375</v>
      </c>
      <c r="C53">
        <v>1.3689887107006893</v>
      </c>
      <c r="D53">
        <f t="shared" si="0"/>
        <v>120.35238600319038</v>
      </c>
      <c r="E53">
        <f t="shared" si="1"/>
        <v>1.4524790819590816</v>
      </c>
      <c r="F53">
        <f t="shared" si="2"/>
        <v>119.89173106672899</v>
      </c>
      <c r="G53">
        <f t="shared" si="3"/>
        <v>1.4528998523972101</v>
      </c>
      <c r="I53" s="3">
        <f t="shared" si="8"/>
        <v>123.12049088126375</v>
      </c>
      <c r="J53" s="3">
        <f t="shared" si="9"/>
        <v>1.3689887107006893</v>
      </c>
      <c r="K53">
        <f t="shared" si="10"/>
        <v>122.38617383823434</v>
      </c>
      <c r="L53">
        <f t="shared" si="11"/>
        <v>1.398771569970076</v>
      </c>
      <c r="M53">
        <f t="shared" si="12"/>
        <v>121.90011021994408</v>
      </c>
      <c r="N53">
        <f t="shared" si="13"/>
        <v>1.3992047698571954</v>
      </c>
      <c r="P53" s="3">
        <f t="shared" si="14"/>
        <v>120.89592064333654</v>
      </c>
      <c r="Q53" s="3">
        <f t="shared" si="15"/>
        <v>2.4302418877347454</v>
      </c>
      <c r="R53" s="3">
        <f t="shared" si="16"/>
        <v>2.0101934579780991</v>
      </c>
    </row>
    <row r="54" spans="1:19">
      <c r="A54" s="2" t="s">
        <v>52</v>
      </c>
      <c r="B54">
        <v>145.69410200898741</v>
      </c>
      <c r="C54">
        <v>1.283981759472077</v>
      </c>
      <c r="D54">
        <f t="shared" si="0"/>
        <v>142.41847703713336</v>
      </c>
      <c r="E54">
        <f t="shared" si="1"/>
        <v>1.4219195136490921</v>
      </c>
      <c r="F54">
        <f t="shared" si="2"/>
        <v>141.95782210067196</v>
      </c>
      <c r="G54">
        <f t="shared" si="3"/>
        <v>1.4223493244850962</v>
      </c>
      <c r="I54" s="3">
        <f t="shared" si="8"/>
        <v>145.69410200898741</v>
      </c>
      <c r="J54" s="3">
        <f t="shared" si="9"/>
        <v>1.283981759472077</v>
      </c>
      <c r="K54">
        <f t="shared" si="10"/>
        <v>144.82515110237318</v>
      </c>
      <c r="L54">
        <f t="shared" si="11"/>
        <v>1.3325327177348503</v>
      </c>
      <c r="M54">
        <f t="shared" si="12"/>
        <v>144.33908748408294</v>
      </c>
      <c r="N54">
        <f t="shared" si="13"/>
        <v>1.3329874443776288</v>
      </c>
      <c r="P54" s="3">
        <f t="shared" si="14"/>
        <v>143.14845479237744</v>
      </c>
      <c r="Q54" s="3">
        <f t="shared" si="15"/>
        <v>2.5683010761368545</v>
      </c>
      <c r="R54" s="3">
        <f t="shared" si="16"/>
        <v>1.7941521477559219</v>
      </c>
    </row>
    <row r="55" spans="1:19">
      <c r="A55" s="2" t="s">
        <v>53</v>
      </c>
      <c r="B55">
        <v>4.5067109259980578</v>
      </c>
      <c r="C55">
        <v>0.12510276670640236</v>
      </c>
      <c r="D55">
        <f t="shared" si="0"/>
        <v>4.4053870244360294</v>
      </c>
      <c r="E55">
        <f t="shared" si="1"/>
        <v>0.12402473226490787</v>
      </c>
      <c r="F55">
        <f t="shared" si="2"/>
        <v>3.944732087974641</v>
      </c>
      <c r="G55">
        <f t="shared" si="3"/>
        <v>0.12885896080801168</v>
      </c>
      <c r="I55" s="3">
        <f t="shared" si="8"/>
        <v>4.5067109259980578</v>
      </c>
      <c r="J55" s="3">
        <f t="shared" si="9"/>
        <v>0.12510276670640236</v>
      </c>
      <c r="K55">
        <f t="shared" si="10"/>
        <v>4.4798319343917079</v>
      </c>
      <c r="L55">
        <f t="shared" si="11"/>
        <v>0.12491949949127761</v>
      </c>
      <c r="M55">
        <f t="shared" si="12"/>
        <v>3.9937683161014492</v>
      </c>
      <c r="N55">
        <f t="shared" si="13"/>
        <v>0.129680239002429</v>
      </c>
      <c r="P55" s="3">
        <f t="shared" si="14"/>
        <v>3.9692502020380451</v>
      </c>
      <c r="Q55" s="3">
        <f t="shared" si="15"/>
        <v>0.15378771396862442</v>
      </c>
      <c r="R55" s="3">
        <f t="shared" si="16"/>
        <v>3.8744777008428648</v>
      </c>
    </row>
    <row r="56" spans="1:19">
      <c r="A56" s="2" t="s">
        <v>54</v>
      </c>
      <c r="B56">
        <v>158.45133597065697</v>
      </c>
      <c r="C56">
        <v>2.1211017236179428</v>
      </c>
      <c r="D56">
        <f t="shared" si="0"/>
        <v>154.88889146691787</v>
      </c>
      <c r="E56">
        <f t="shared" si="1"/>
        <v>2.1970912525411226</v>
      </c>
      <c r="F56">
        <f t="shared" si="2"/>
        <v>154.42823653045647</v>
      </c>
      <c r="G56">
        <f t="shared" si="3"/>
        <v>2.1973694431205368</v>
      </c>
      <c r="I56" s="3">
        <f t="shared" si="8"/>
        <v>158.45133597065697</v>
      </c>
      <c r="J56" s="3">
        <f t="shared" si="9"/>
        <v>2.1211017236179428</v>
      </c>
      <c r="K56">
        <f t="shared" si="10"/>
        <v>157.50629818156756</v>
      </c>
      <c r="L56">
        <f t="shared" si="11"/>
        <v>2.1491885079889399</v>
      </c>
      <c r="M56">
        <f t="shared" si="12"/>
        <v>157.02023456327731</v>
      </c>
      <c r="N56">
        <f t="shared" si="13"/>
        <v>2.1494704757000735</v>
      </c>
      <c r="P56" s="3">
        <f t="shared" si="14"/>
        <v>155.72423554686691</v>
      </c>
      <c r="Q56" s="3">
        <f t="shared" si="15"/>
        <v>3.4694189758207234</v>
      </c>
      <c r="R56" s="3">
        <f t="shared" si="16"/>
        <v>2.2279248722184697</v>
      </c>
    </row>
    <row r="57" spans="1:19" customFormat="1">
      <c r="A57" t="s">
        <v>89</v>
      </c>
      <c r="B57">
        <v>6.1573428591784634</v>
      </c>
      <c r="C57">
        <v>0.14180455626787217</v>
      </c>
      <c r="D57">
        <f t="shared" si="0"/>
        <v>6.018907975736524</v>
      </c>
      <c r="E57">
        <f t="shared" si="1"/>
        <v>0.14146401183220703</v>
      </c>
      <c r="F57">
        <f t="shared" si="2"/>
        <v>5.5582530392751357</v>
      </c>
      <c r="G57">
        <f t="shared" si="3"/>
        <v>0.14572084343291944</v>
      </c>
      <c r="I57" s="3">
        <f t="shared" si="8"/>
        <v>6.1573428591784634</v>
      </c>
      <c r="J57" s="3">
        <f t="shared" si="9"/>
        <v>0.14180455626787217</v>
      </c>
      <c r="K57">
        <f t="shared" si="10"/>
        <v>6.1206191443125881</v>
      </c>
      <c r="L57">
        <f t="shared" si="11"/>
        <v>0.14188480487323835</v>
      </c>
      <c r="M57">
        <f t="shared" si="12"/>
        <v>5.6345555260223295</v>
      </c>
      <c r="N57">
        <f t="shared" si="13"/>
        <v>0.14609374007291595</v>
      </c>
      <c r="P57" s="3">
        <f t="shared" si="14"/>
        <v>5.5964042826487326</v>
      </c>
      <c r="Q57" s="3">
        <f t="shared" si="15"/>
        <v>0.18405853512651477</v>
      </c>
      <c r="R57" s="3">
        <f t="shared" si="16"/>
        <v>3.2888713150544828</v>
      </c>
    </row>
    <row r="58" spans="1:19" customFormat="1">
      <c r="A58" t="s">
        <v>90</v>
      </c>
      <c r="B58">
        <v>9.2717102057351646</v>
      </c>
      <c r="C58">
        <v>0.17630830927121213</v>
      </c>
      <c r="D58">
        <f t="shared" si="0"/>
        <v>9.0632553330744532</v>
      </c>
      <c r="E58">
        <f t="shared" si="1"/>
        <v>0.17751340679779498</v>
      </c>
      <c r="F58">
        <f t="shared" si="2"/>
        <v>8.6026003966130649</v>
      </c>
      <c r="G58">
        <f t="shared" si="3"/>
        <v>0.18092403698817372</v>
      </c>
      <c r="I58" s="3">
        <f t="shared" si="8"/>
        <v>9.2717102057351646</v>
      </c>
      <c r="J58" s="3">
        <f t="shared" si="9"/>
        <v>0.17630830927121213</v>
      </c>
      <c r="K58">
        <f t="shared" si="10"/>
        <v>9.2164117353232253</v>
      </c>
      <c r="L58">
        <f t="shared" si="11"/>
        <v>0.17694294136191369</v>
      </c>
      <c r="M58">
        <f t="shared" si="12"/>
        <v>8.7303481170329675</v>
      </c>
      <c r="N58">
        <f t="shared" si="13"/>
        <v>0.18033548605968108</v>
      </c>
      <c r="P58" s="3">
        <f t="shared" si="14"/>
        <v>8.6664742568230153</v>
      </c>
      <c r="Q58" s="3">
        <f t="shared" si="15"/>
        <v>0.24450362173387863</v>
      </c>
      <c r="R58" s="3">
        <f t="shared" si="16"/>
        <v>2.8212582705289151</v>
      </c>
    </row>
    <row r="59" spans="1:19">
      <c r="A59" s="2" t="s">
        <v>55</v>
      </c>
      <c r="B59">
        <v>1.7301364755170421</v>
      </c>
      <c r="C59">
        <v>0.11380044825319133</v>
      </c>
      <c r="D59">
        <f>B59/B$28</f>
        <v>1.6912380014829347</v>
      </c>
      <c r="E59">
        <f>D59*SQRT((C59/B59)^2+(C$28/B$28)^2)</f>
        <v>0.11152456216895493</v>
      </c>
      <c r="F59">
        <f>D59-B$29</f>
        <v>1.2305830650215466</v>
      </c>
      <c r="G59">
        <f>SQRT(E59^2+C$29^2)</f>
        <v>0.11687696750906786</v>
      </c>
      <c r="I59" s="3">
        <f t="shared" si="8"/>
        <v>1.7301364755170421</v>
      </c>
      <c r="J59" s="3">
        <f t="shared" si="9"/>
        <v>0.11380044825319133</v>
      </c>
      <c r="K59">
        <f t="shared" si="10"/>
        <v>1.7198175700964633</v>
      </c>
      <c r="L59">
        <f t="shared" si="11"/>
        <v>0.11321308313072628</v>
      </c>
      <c r="M59">
        <f t="shared" si="12"/>
        <v>1.2337539518062048</v>
      </c>
      <c r="N59">
        <f t="shared" si="13"/>
        <v>0.11844528368213124</v>
      </c>
      <c r="P59" s="3">
        <f t="shared" si="14"/>
        <v>1.2321685084138756</v>
      </c>
      <c r="Q59" s="3">
        <f t="shared" si="15"/>
        <v>0.11924656898792868</v>
      </c>
      <c r="R59" s="3">
        <f t="shared" si="16"/>
        <v>9.6777809344787045</v>
      </c>
    </row>
    <row r="60" spans="1:19">
      <c r="A60" s="2" t="s">
        <v>56</v>
      </c>
      <c r="B60">
        <v>1.2502697735566271</v>
      </c>
      <c r="C60">
        <v>7.38003609572946E-2</v>
      </c>
      <c r="D60">
        <f>B60/B$28</f>
        <v>1.2221600914532036</v>
      </c>
      <c r="E60">
        <f>D60*SQRT((C60/B60)^2+(C$28/B$28)^2)</f>
        <v>7.2368672274518028E-2</v>
      </c>
      <c r="F60">
        <f>D60-B$29</f>
        <v>0.76150515499181548</v>
      </c>
      <c r="G60">
        <f>SQRT(E60^2+C$29^2)</f>
        <v>8.0372397587201577E-2</v>
      </c>
      <c r="I60" s="3">
        <f t="shared" si="8"/>
        <v>1.2502697735566271</v>
      </c>
      <c r="J60" s="3">
        <f t="shared" si="9"/>
        <v>7.38003609572946E-2</v>
      </c>
      <c r="K60">
        <f t="shared" si="10"/>
        <v>1.2428128961795497</v>
      </c>
      <c r="L60">
        <f t="shared" si="11"/>
        <v>7.3433764652917788E-2</v>
      </c>
      <c r="M60">
        <f t="shared" si="12"/>
        <v>0.75674927788929125</v>
      </c>
      <c r="N60">
        <f t="shared" si="13"/>
        <v>8.1268695237932315E-2</v>
      </c>
      <c r="P60" s="3">
        <f t="shared" si="14"/>
        <v>0.75912721644055337</v>
      </c>
      <c r="Q60" s="3">
        <f t="shared" si="15"/>
        <v>7.8442607861304844E-2</v>
      </c>
      <c r="R60" s="3">
        <f t="shared" si="16"/>
        <v>10.333262483870859</v>
      </c>
    </row>
  </sheetData>
  <pageMargins left="0.75" right="0.75" top="1" bottom="1" header="0.5" footer="0.5"/>
  <pageSetup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13CC-B045-104A-9E22-3D380D8F1E83}">
  <dimension ref="A1:CA74"/>
  <sheetViews>
    <sheetView topLeftCell="A39" zoomScale="130" zoomScaleNormal="130" zoomScalePageLayoutView="125" workbookViewId="0">
      <pane xSplit="7040" topLeftCell="AL1" activePane="topRight"/>
      <selection activeCell="A53" sqref="A53"/>
      <selection pane="topRight" activeCell="AV55" sqref="AV55"/>
    </sheetView>
  </sheetViews>
  <sheetFormatPr baseColWidth="10" defaultRowHeight="13"/>
  <cols>
    <col min="1" max="1" width="30.5" style="25" customWidth="1"/>
    <col min="2" max="8" width="10.83203125" style="25"/>
    <col min="9" max="9" width="12" style="26" bestFit="1" customWidth="1"/>
    <col min="10" max="10" width="12.1640625" style="26" bestFit="1" customWidth="1"/>
    <col min="11" max="11" width="12" style="26" bestFit="1" customWidth="1"/>
    <col min="12" max="12" width="11.1640625" style="26" bestFit="1" customWidth="1"/>
    <col min="13" max="13" width="12" style="26" bestFit="1" customWidth="1"/>
    <col min="14" max="14" width="12.1640625" style="26" bestFit="1" customWidth="1"/>
    <col min="15" max="15" width="12" style="25" bestFit="1" customWidth="1"/>
    <col min="16" max="16" width="11.1640625" style="25" bestFit="1" customWidth="1"/>
    <col min="17" max="20" width="11" style="25" bestFit="1" customWidth="1"/>
    <col min="21" max="23" width="10.83203125" style="25"/>
    <col min="24" max="24" width="11.5" style="25" customWidth="1"/>
    <col min="25" max="25" width="10.83203125" style="25"/>
    <col min="26" max="26" width="11.5" style="25" customWidth="1"/>
    <col min="27" max="29" width="10.83203125" style="25"/>
    <col min="30" max="30" width="12.33203125" style="25" customWidth="1"/>
    <col min="31" max="31" width="13.5" style="25" customWidth="1"/>
    <col min="32" max="54" width="10.83203125" style="25"/>
    <col min="55" max="55" width="12.6640625" style="25" customWidth="1"/>
    <col min="56" max="16384" width="10.83203125" style="25"/>
  </cols>
  <sheetData>
    <row r="1" spans="1:38" s="29" customFormat="1">
      <c r="A1" s="29" t="s">
        <v>98</v>
      </c>
    </row>
    <row r="2" spans="1:38" s="29" customFormat="1">
      <c r="A2" s="29" t="s">
        <v>85</v>
      </c>
    </row>
    <row r="3" spans="1:38" s="29" customFormat="1">
      <c r="A3" s="29" t="s">
        <v>86</v>
      </c>
    </row>
    <row r="4" spans="1:38" s="27" customFormat="1">
      <c r="A4" s="27" t="s">
        <v>99</v>
      </c>
    </row>
    <row r="5" spans="1:38" s="29" customFormat="1"/>
    <row r="6" spans="1:38" s="29" customFormat="1">
      <c r="C6" s="29" t="s">
        <v>84</v>
      </c>
      <c r="G6" s="29">
        <v>1E-4</v>
      </c>
    </row>
    <row r="7" spans="1:38" s="27" customFormat="1">
      <c r="A7" s="35" t="s">
        <v>83</v>
      </c>
    </row>
    <row r="8" spans="1:38" s="30" customFormat="1" ht="99" thickBot="1">
      <c r="A8" s="30" t="s">
        <v>70</v>
      </c>
      <c r="B8" s="30" t="s">
        <v>164</v>
      </c>
      <c r="C8" s="30" t="s">
        <v>82</v>
      </c>
      <c r="D8" s="30" t="s">
        <v>1</v>
      </c>
      <c r="E8" s="30" t="s">
        <v>87</v>
      </c>
      <c r="F8" s="30" t="s">
        <v>1</v>
      </c>
      <c r="G8" s="30" t="s">
        <v>88</v>
      </c>
      <c r="H8" s="30" t="s">
        <v>1</v>
      </c>
      <c r="I8" s="30" t="s">
        <v>81</v>
      </c>
      <c r="J8" s="30" t="s">
        <v>1</v>
      </c>
      <c r="K8" s="30" t="s">
        <v>80</v>
      </c>
      <c r="L8" s="30" t="s">
        <v>1</v>
      </c>
      <c r="M8" s="30" t="s">
        <v>79</v>
      </c>
      <c r="N8" s="30" t="s">
        <v>78</v>
      </c>
      <c r="O8" s="30" t="s">
        <v>1</v>
      </c>
      <c r="P8" s="30" t="s">
        <v>77</v>
      </c>
      <c r="Q8" s="30" t="s">
        <v>1</v>
      </c>
      <c r="R8" s="30" t="s">
        <v>76</v>
      </c>
      <c r="S8" s="30" t="s">
        <v>75</v>
      </c>
      <c r="T8" s="30" t="s">
        <v>1</v>
      </c>
      <c r="U8" s="30" t="s">
        <v>74</v>
      </c>
      <c r="V8" s="30" t="s">
        <v>1</v>
      </c>
      <c r="W8" s="30" t="s">
        <v>73</v>
      </c>
      <c r="X8" s="30" t="s">
        <v>1</v>
      </c>
      <c r="Y8" s="30" t="s">
        <v>72</v>
      </c>
      <c r="Z8" s="38"/>
      <c r="AA8" s="38"/>
      <c r="AB8" s="38"/>
      <c r="AC8" s="38"/>
      <c r="AD8" s="38"/>
    </row>
    <row r="9" spans="1:38" s="29" customFormat="1" ht="17" thickBot="1">
      <c r="A9" s="5" t="str">
        <f>'Empir ANSTO corr wheel2 only '!A31</f>
        <v>14CO_DIRECT_FILL_WITH_14C_MODERN_STANDARD</v>
      </c>
      <c r="B9" s="55" t="s">
        <v>165</v>
      </c>
      <c r="C9" s="33">
        <v>-38.549999999999997</v>
      </c>
      <c r="D9" s="33">
        <v>0.6</v>
      </c>
      <c r="E9" s="29">
        <f>'Empir ANSTO corr'!B34</f>
        <v>11.299988715014596</v>
      </c>
      <c r="F9" s="29">
        <f>'Empir ANSTO corr'!C34</f>
        <v>0.18671165477596013</v>
      </c>
      <c r="G9" s="29">
        <f>'Empir ANSTO corr'!P34</f>
        <v>10.665903437034011</v>
      </c>
      <c r="H9" s="29">
        <f>'Empir ANSTO corr'!Q34</f>
        <v>0.27266680570742463</v>
      </c>
      <c r="I9">
        <v>70.523530861716239</v>
      </c>
      <c r="J9">
        <v>2</v>
      </c>
      <c r="K9">
        <v>1840.068</v>
      </c>
      <c r="L9" s="29">
        <f t="shared" ref="L9:L33" si="0">K9*G$6</f>
        <v>0.1840068</v>
      </c>
      <c r="M9" s="54">
        <v>22.6</v>
      </c>
      <c r="N9" s="29">
        <f t="shared" ref="N9:N31" si="1">M9+273.15</f>
        <v>295.75</v>
      </c>
      <c r="O9" s="29">
        <v>0.2</v>
      </c>
      <c r="P9">
        <v>2795.8159999999998</v>
      </c>
      <c r="Q9" s="29">
        <f t="shared" ref="Q9:Q33" si="2">P9*G$6</f>
        <v>0.27958159999999999</v>
      </c>
      <c r="R9" s="54">
        <v>22.7</v>
      </c>
      <c r="S9" s="29">
        <f t="shared" ref="S9:S31" si="3">R9+273.15</f>
        <v>295.84999999999997</v>
      </c>
      <c r="T9" s="29">
        <v>0.2</v>
      </c>
      <c r="U9" s="29">
        <f t="shared" ref="U9:U31" si="4">P9/S9*N9</f>
        <v>2794.8709886766942</v>
      </c>
      <c r="V9" s="29">
        <f t="shared" ref="V9:V31" si="5">U9*SQRT((Q9/P9)^2+(O9/N9)^2+(T9/S9)^2)</f>
        <v>2.6870187556648299</v>
      </c>
      <c r="W9" s="29">
        <f t="shared" ref="W9:W31" si="6">U9-K9</f>
        <v>954.80298867669421</v>
      </c>
      <c r="X9" s="29">
        <f t="shared" ref="X9:X31" si="7">SQRT(L9^2+V9^2)</f>
        <v>2.693311770987683</v>
      </c>
      <c r="Y9" t="s">
        <v>191</v>
      </c>
      <c r="AH9"/>
      <c r="AI9"/>
      <c r="AJ9"/>
      <c r="AK9"/>
      <c r="AL9"/>
    </row>
    <row r="10" spans="1:38" s="29" customFormat="1" ht="17" thickBot="1">
      <c r="A10" s="5" t="str">
        <f>'Empir ANSTO corr wheel2 only '!A32</f>
        <v>14CO_UR_DC_WATER_BLANK_2</v>
      </c>
      <c r="B10" s="56" t="s">
        <v>166</v>
      </c>
      <c r="C10" s="33">
        <v>-38.549999999999997</v>
      </c>
      <c r="D10" s="33">
        <v>0.6</v>
      </c>
      <c r="E10" s="29">
        <f>'Empir ANSTO corr'!B35</f>
        <v>11.819202052723243</v>
      </c>
      <c r="F10" s="29">
        <f>'Empir ANSTO corr'!C35</f>
        <v>0.31420757653581372</v>
      </c>
      <c r="G10" s="29">
        <f>'Empir ANSTO corr'!P35</f>
        <v>11.177731715754089</v>
      </c>
      <c r="H10" s="29">
        <f>'Empir ANSTO corr'!Q35</f>
        <v>0.39973637630679526</v>
      </c>
      <c r="I10">
        <v>81.939109881174574</v>
      </c>
      <c r="J10">
        <v>2</v>
      </c>
      <c r="K10">
        <v>1901.213</v>
      </c>
      <c r="L10" s="29">
        <f t="shared" si="0"/>
        <v>0.19012129999999999</v>
      </c>
      <c r="M10" s="54">
        <v>22.7</v>
      </c>
      <c r="N10" s="29">
        <f t="shared" si="1"/>
        <v>295.84999999999997</v>
      </c>
      <c r="O10" s="29">
        <v>0.2</v>
      </c>
      <c r="P10">
        <v>2787.5149999999999</v>
      </c>
      <c r="Q10" s="29">
        <f t="shared" si="2"/>
        <v>0.27875149999999999</v>
      </c>
      <c r="R10" s="54">
        <v>22.6</v>
      </c>
      <c r="S10" s="29">
        <f t="shared" si="3"/>
        <v>295.75</v>
      </c>
      <c r="T10" s="29">
        <v>0.2</v>
      </c>
      <c r="U10" s="29">
        <f t="shared" si="4"/>
        <v>2788.4575240912932</v>
      </c>
      <c r="V10" s="29">
        <f t="shared" si="5"/>
        <v>2.68085278245906</v>
      </c>
      <c r="W10" s="29">
        <f t="shared" si="6"/>
        <v>887.24452409129321</v>
      </c>
      <c r="X10" s="29">
        <f t="shared" si="7"/>
        <v>2.6875858590810031</v>
      </c>
      <c r="Y10" t="s">
        <v>192</v>
      </c>
      <c r="AH10"/>
      <c r="AI10"/>
      <c r="AJ10"/>
      <c r="AK10"/>
      <c r="AL10"/>
    </row>
    <row r="11" spans="1:38" s="29" customFormat="1" ht="17" thickBot="1">
      <c r="A11" s="5" t="str">
        <f>'Empir ANSTO corr wheel2 only '!A33</f>
        <v>14CO_UR_DC_ICE_SAMPLE_10</v>
      </c>
      <c r="B11" s="56" t="s">
        <v>167</v>
      </c>
      <c r="C11" s="33">
        <v>-38.549999999999997</v>
      </c>
      <c r="D11" s="33">
        <v>0.6</v>
      </c>
      <c r="E11" s="29">
        <f>'Empir ANSTO corr'!B36</f>
        <v>117.68497625212633</v>
      </c>
      <c r="F11" s="29">
        <f>'Empir ANSTO corr'!C36</f>
        <v>0.71862850551621937</v>
      </c>
      <c r="G11" s="29">
        <f>'Empir ANSTO corr'!P36</f>
        <v>115.53771835048573</v>
      </c>
      <c r="H11" s="29">
        <f>'Empir ANSTO corr'!Q36</f>
        <v>1.7921986534178806</v>
      </c>
      <c r="I11">
        <v>148.16193572766502</v>
      </c>
      <c r="J11">
        <v>2</v>
      </c>
      <c r="K11">
        <v>1333.6279999999999</v>
      </c>
      <c r="L11" s="29">
        <f t="shared" si="0"/>
        <v>0.1333628</v>
      </c>
      <c r="M11" s="54">
        <v>22.6</v>
      </c>
      <c r="N11" s="29">
        <f t="shared" si="1"/>
        <v>295.75</v>
      </c>
      <c r="O11" s="29">
        <v>0.2</v>
      </c>
      <c r="P11">
        <v>2474.0920000000001</v>
      </c>
      <c r="Q11" s="29">
        <f t="shared" si="2"/>
        <v>0.24740920000000002</v>
      </c>
      <c r="R11" s="54">
        <v>22.7</v>
      </c>
      <c r="S11" s="29">
        <f t="shared" si="3"/>
        <v>295.84999999999997</v>
      </c>
      <c r="T11" s="29">
        <v>0.2</v>
      </c>
      <c r="U11" s="29">
        <f t="shared" si="4"/>
        <v>2473.2557343248272</v>
      </c>
      <c r="V11" s="29">
        <f t="shared" si="5"/>
        <v>2.3778144224227602</v>
      </c>
      <c r="W11" s="29">
        <f t="shared" si="6"/>
        <v>1139.6277343248273</v>
      </c>
      <c r="X11" s="29">
        <f t="shared" si="7"/>
        <v>2.3815513985437149</v>
      </c>
      <c r="Y11" t="s">
        <v>193</v>
      </c>
      <c r="AH11"/>
      <c r="AI11"/>
      <c r="AJ11"/>
      <c r="AK11"/>
      <c r="AL11"/>
    </row>
    <row r="12" spans="1:38" s="29" customFormat="1" ht="17" thickBot="1">
      <c r="A12" s="5" t="str">
        <f>'Empir ANSTO corr wheel2 only '!A34</f>
        <v>14CO_UR_DC_ICE_SAMPLE_6</v>
      </c>
      <c r="B12" s="56" t="s">
        <v>168</v>
      </c>
      <c r="C12" s="33">
        <v>-38.549999999999997</v>
      </c>
      <c r="D12" s="33">
        <v>0.6</v>
      </c>
      <c r="E12" s="29">
        <f>'Empir ANSTO corr'!B37</f>
        <v>138.17970585191497</v>
      </c>
      <c r="F12" s="29">
        <f>'Empir ANSTO corr'!C37</f>
        <v>1.5643080179998561</v>
      </c>
      <c r="G12" s="29">
        <f>'Empir ANSTO corr'!P37</f>
        <v>135.74094005543256</v>
      </c>
      <c r="H12" s="29">
        <f>'Empir ANSTO corr'!Q37</f>
        <v>2.7549943608785576</v>
      </c>
      <c r="I12">
        <v>133.60383768661234</v>
      </c>
      <c r="J12">
        <v>2</v>
      </c>
      <c r="K12">
        <v>1365.912</v>
      </c>
      <c r="L12" s="29">
        <f t="shared" si="0"/>
        <v>0.13659120000000002</v>
      </c>
      <c r="M12" s="54">
        <v>22.4</v>
      </c>
      <c r="N12" s="29">
        <f t="shared" si="1"/>
        <v>295.54999999999995</v>
      </c>
      <c r="O12" s="29">
        <v>0.2</v>
      </c>
      <c r="P12">
        <v>2508.3229999999999</v>
      </c>
      <c r="Q12" s="29">
        <f t="shared" si="2"/>
        <v>0.25083230000000001</v>
      </c>
      <c r="R12" s="54">
        <v>22.5</v>
      </c>
      <c r="S12" s="29">
        <f t="shared" si="3"/>
        <v>295.64999999999998</v>
      </c>
      <c r="T12" s="29">
        <v>0.2</v>
      </c>
      <c r="U12" s="29">
        <f t="shared" si="4"/>
        <v>2507.474590394047</v>
      </c>
      <c r="V12" s="29">
        <f t="shared" si="5"/>
        <v>2.4123262192419173</v>
      </c>
      <c r="W12" s="29">
        <f t="shared" si="6"/>
        <v>1141.562590394047</v>
      </c>
      <c r="X12" s="29">
        <f t="shared" si="7"/>
        <v>2.4161901713150482</v>
      </c>
      <c r="Y12"/>
      <c r="AH12"/>
      <c r="AI12"/>
      <c r="AJ12"/>
      <c r="AK12"/>
      <c r="AL12"/>
    </row>
    <row r="13" spans="1:38" s="29" customFormat="1" ht="17" thickBot="1">
      <c r="A13" s="5" t="str">
        <f>'Empir ANSTO corr wheel2 only '!A35</f>
        <v>14CO_UR_DC_ICE_SAMPLE_13</v>
      </c>
      <c r="B13" s="56" t="s">
        <v>169</v>
      </c>
      <c r="C13" s="33">
        <v>-38.549999999999997</v>
      </c>
      <c r="D13" s="33">
        <v>0.6</v>
      </c>
      <c r="E13" s="29">
        <f>'Empir ANSTO corr'!B38</f>
        <v>155.36850677801186</v>
      </c>
      <c r="F13" s="29">
        <f>'Empir ANSTO corr'!C38</f>
        <v>0.95243201247643439</v>
      </c>
      <c r="G13" s="29">
        <f>'Empir ANSTO corr'!P38</f>
        <v>152.68525514196642</v>
      </c>
      <c r="H13" s="29">
        <f>'Empir ANSTO corr'!Q38</f>
        <v>2.3728441765738326</v>
      </c>
      <c r="I13">
        <v>97.172946796325036</v>
      </c>
      <c r="J13">
        <v>2</v>
      </c>
      <c r="K13">
        <v>1616.5160000000001</v>
      </c>
      <c r="L13" s="29">
        <f t="shared" si="0"/>
        <v>0.16165160000000001</v>
      </c>
      <c r="M13" s="54">
        <v>22.8</v>
      </c>
      <c r="N13" s="29">
        <f t="shared" si="1"/>
        <v>295.95</v>
      </c>
      <c r="O13" s="29">
        <v>0.2</v>
      </c>
      <c r="P13">
        <v>2753.2829999999999</v>
      </c>
      <c r="Q13" s="29">
        <f t="shared" si="2"/>
        <v>0.27532830000000003</v>
      </c>
      <c r="R13" s="54">
        <v>22.8</v>
      </c>
      <c r="S13" s="29">
        <f t="shared" si="3"/>
        <v>295.95</v>
      </c>
      <c r="T13" s="29">
        <v>0.2</v>
      </c>
      <c r="U13" s="29">
        <f t="shared" si="4"/>
        <v>2753.2829999999999</v>
      </c>
      <c r="V13" s="29">
        <f t="shared" si="5"/>
        <v>2.6457083967066044</v>
      </c>
      <c r="W13" s="29">
        <f t="shared" si="6"/>
        <v>1136.7669999999998</v>
      </c>
      <c r="X13" s="29">
        <f t="shared" si="7"/>
        <v>2.6506422165555259</v>
      </c>
      <c r="Y13" t="s">
        <v>194</v>
      </c>
      <c r="AH13"/>
      <c r="AI13"/>
      <c r="AJ13"/>
      <c r="AK13"/>
      <c r="AL13"/>
    </row>
    <row r="14" spans="1:38" s="29" customFormat="1" ht="17" thickBot="1">
      <c r="A14" s="5" t="str">
        <f>'Empir ANSTO corr wheel2 only '!A36</f>
        <v>14CO_UR_DC_FIRN_EXTRACTION_3</v>
      </c>
      <c r="B14" s="57" t="s">
        <v>170</v>
      </c>
      <c r="C14" s="33">
        <v>-38.549999999999997</v>
      </c>
      <c r="D14" s="33">
        <v>0.6</v>
      </c>
      <c r="E14" s="29">
        <f>'Empir ANSTO corr'!B39</f>
        <v>90.933320297528383</v>
      </c>
      <c r="F14" s="29">
        <f>'Empir ANSTO corr'!C39</f>
        <v>1.248312888074226</v>
      </c>
      <c r="G14" s="29">
        <f>'Empir ANSTO corr'!P39</f>
        <v>89.166566021119181</v>
      </c>
      <c r="H14" s="29">
        <f>'Empir ANSTO corr'!Q39</f>
        <v>2.0154372452401863</v>
      </c>
      <c r="I14">
        <v>92.146439566185663</v>
      </c>
      <c r="J14">
        <v>2</v>
      </c>
      <c r="K14">
        <v>1393.3589999999999</v>
      </c>
      <c r="L14" s="29">
        <f t="shared" si="0"/>
        <v>0.13933590000000001</v>
      </c>
      <c r="M14" s="54">
        <v>22.7</v>
      </c>
      <c r="N14" s="29">
        <f t="shared" si="1"/>
        <v>295.84999999999997</v>
      </c>
      <c r="O14" s="29">
        <v>0.2</v>
      </c>
      <c r="P14">
        <v>2532.7240000000002</v>
      </c>
      <c r="Q14" s="29">
        <f t="shared" si="2"/>
        <v>0.25327240000000001</v>
      </c>
      <c r="R14" s="54">
        <v>22.8</v>
      </c>
      <c r="S14" s="29">
        <f t="shared" si="3"/>
        <v>295.95</v>
      </c>
      <c r="T14" s="29">
        <v>0.2</v>
      </c>
      <c r="U14" s="29">
        <f t="shared" si="4"/>
        <v>2531.8682054401079</v>
      </c>
      <c r="V14" s="29">
        <f t="shared" si="5"/>
        <v>2.4333513472109174</v>
      </c>
      <c r="W14" s="29">
        <f t="shared" si="6"/>
        <v>1138.509205440108</v>
      </c>
      <c r="X14" s="29">
        <f t="shared" si="7"/>
        <v>2.4373373324187191</v>
      </c>
      <c r="Y14" t="s">
        <v>195</v>
      </c>
      <c r="AH14"/>
      <c r="AI14"/>
      <c r="AJ14"/>
      <c r="AK14"/>
      <c r="AL14"/>
    </row>
    <row r="15" spans="1:38" s="29" customFormat="1" ht="17" thickBot="1">
      <c r="A15" s="5" t="str">
        <f>'Empir ANSTO corr wheel2 only '!A37</f>
        <v>14CO_UR_DC_WATER_BLANK_4B</v>
      </c>
      <c r="B15" s="56" t="s">
        <v>171</v>
      </c>
      <c r="C15" s="33">
        <v>-38.549999999999997</v>
      </c>
      <c r="D15" s="33">
        <v>0.6</v>
      </c>
      <c r="E15" s="29">
        <f>'Empir ANSTO corr'!B40</f>
        <v>4.6835679691550665</v>
      </c>
      <c r="F15" s="29">
        <f>'Empir ANSTO corr'!C40</f>
        <v>0.12490299289717177</v>
      </c>
      <c r="G15" s="29">
        <f>'Empir ANSTO corr'!P40</f>
        <v>4.1435917094770716</v>
      </c>
      <c r="H15" s="29">
        <f>'Empir ANSTO corr'!Q40</f>
        <v>0.15514864413909124</v>
      </c>
      <c r="I15">
        <v>42.602174768437429</v>
      </c>
      <c r="J15">
        <v>2</v>
      </c>
      <c r="K15">
        <v>1296.3789999999999</v>
      </c>
      <c r="L15" s="29">
        <f t="shared" si="0"/>
        <v>0.1296379</v>
      </c>
      <c r="M15" s="54">
        <v>22.6</v>
      </c>
      <c r="N15" s="29">
        <f t="shared" si="1"/>
        <v>295.75</v>
      </c>
      <c r="O15" s="29">
        <v>0.2</v>
      </c>
      <c r="P15">
        <v>2431.364</v>
      </c>
      <c r="Q15" s="29">
        <f t="shared" si="2"/>
        <v>0.2431364</v>
      </c>
      <c r="R15" s="54">
        <v>22.7</v>
      </c>
      <c r="S15" s="29">
        <f t="shared" si="3"/>
        <v>295.84999999999997</v>
      </c>
      <c r="T15" s="29">
        <v>0.2</v>
      </c>
      <c r="U15" s="29">
        <f t="shared" si="4"/>
        <v>2430.5421767787734</v>
      </c>
      <c r="V15" s="29">
        <f t="shared" si="5"/>
        <v>2.3367491529658122</v>
      </c>
      <c r="W15" s="29">
        <f t="shared" si="6"/>
        <v>1134.1631767787735</v>
      </c>
      <c r="X15" s="29">
        <f t="shared" si="7"/>
        <v>2.3403424084955713</v>
      </c>
      <c r="Y15"/>
      <c r="AH15"/>
      <c r="AI15"/>
      <c r="AJ15"/>
      <c r="AK15"/>
      <c r="AL15"/>
    </row>
    <row r="16" spans="1:38" s="29" customFormat="1" ht="17" thickBot="1">
      <c r="A16" s="5" t="str">
        <f>'Empir ANSTO corr wheel2 only '!A38</f>
        <v>14CO_UR_DC_ICE_SAMPLE_8</v>
      </c>
      <c r="B16" s="56" t="s">
        <v>172</v>
      </c>
      <c r="C16" s="33">
        <v>-38.549999999999997</v>
      </c>
      <c r="D16" s="33">
        <v>0.6</v>
      </c>
      <c r="E16" s="29">
        <f>'Empir ANSTO corr'!B41</f>
        <v>129.63093937362609</v>
      </c>
      <c r="F16" s="29">
        <f>'Empir ANSTO corr'!C41</f>
        <v>1.0143823461581651</v>
      </c>
      <c r="G16" s="29">
        <f>'Empir ANSTO corr'!P41</f>
        <v>127.31376741947503</v>
      </c>
      <c r="H16" s="29">
        <f>'Empir ANSTO corr'!Q41</f>
        <v>2.1687662640338945</v>
      </c>
      <c r="I16">
        <v>141.17460701449582</v>
      </c>
      <c r="J16">
        <v>2</v>
      </c>
      <c r="K16">
        <v>1308.4480000000001</v>
      </c>
      <c r="L16" s="29">
        <f t="shared" si="0"/>
        <v>0.13084480000000001</v>
      </c>
      <c r="M16" s="54">
        <v>22.1</v>
      </c>
      <c r="N16" s="29">
        <f t="shared" si="1"/>
        <v>295.25</v>
      </c>
      <c r="O16" s="29">
        <v>0.2</v>
      </c>
      <c r="P16">
        <v>2437.8609999999999</v>
      </c>
      <c r="Q16" s="29">
        <f t="shared" si="2"/>
        <v>0.24378610000000001</v>
      </c>
      <c r="R16" s="54">
        <v>22.7</v>
      </c>
      <c r="S16" s="29">
        <f t="shared" si="3"/>
        <v>295.84999999999997</v>
      </c>
      <c r="T16" s="29">
        <v>0.2</v>
      </c>
      <c r="U16" s="29">
        <f t="shared" si="4"/>
        <v>2432.9168844008791</v>
      </c>
      <c r="V16" s="29">
        <f t="shared" si="5"/>
        <v>2.3409928471227888</v>
      </c>
      <c r="W16" s="29">
        <f t="shared" si="6"/>
        <v>1124.468884400879</v>
      </c>
      <c r="X16" s="29">
        <f t="shared" si="7"/>
        <v>2.3446466411736973</v>
      </c>
      <c r="Y16" t="s">
        <v>196</v>
      </c>
      <c r="AH16"/>
      <c r="AI16"/>
      <c r="AJ16"/>
      <c r="AK16"/>
      <c r="AL16"/>
    </row>
    <row r="17" spans="1:38" s="29" customFormat="1" ht="17" thickBot="1">
      <c r="A17" s="5" t="str">
        <f>'Empir ANSTO corr wheel2 only '!A39</f>
        <v>14CO_UR_DC_FIRN_SAMPLE_1</v>
      </c>
      <c r="B17" s="58" t="s">
        <v>173</v>
      </c>
      <c r="C17" s="33">
        <v>-38.549999999999997</v>
      </c>
      <c r="D17" s="33">
        <v>0.6</v>
      </c>
      <c r="E17" s="29">
        <f>'Empir ANSTO corr'!B42</f>
        <v>171.97927723048775</v>
      </c>
      <c r="F17" s="29">
        <f>'Empir ANSTO corr'!C42</f>
        <v>1.3754664931564666</v>
      </c>
      <c r="G17" s="29">
        <f>'Empir ANSTO corr'!P42</f>
        <v>169.05976140258144</v>
      </c>
      <c r="H17" s="29">
        <f>'Empir ANSTO corr'!Q42</f>
        <v>2.9075828223303639</v>
      </c>
      <c r="I17">
        <v>83.697556283655402</v>
      </c>
      <c r="J17">
        <v>2</v>
      </c>
      <c r="K17">
        <v>1367.8409999999999</v>
      </c>
      <c r="L17" s="29">
        <f t="shared" si="0"/>
        <v>0.13678409999999999</v>
      </c>
      <c r="M17" s="54">
        <v>22.6</v>
      </c>
      <c r="N17" s="29">
        <f t="shared" si="1"/>
        <v>295.75</v>
      </c>
      <c r="O17" s="29">
        <v>0.2</v>
      </c>
      <c r="P17">
        <v>2513.3649999999998</v>
      </c>
      <c r="Q17" s="29">
        <f t="shared" si="2"/>
        <v>0.25133649999999996</v>
      </c>
      <c r="R17" s="54">
        <v>22.6</v>
      </c>
      <c r="S17" s="29">
        <f t="shared" si="3"/>
        <v>295.75</v>
      </c>
      <c r="T17" s="29">
        <v>0.2</v>
      </c>
      <c r="U17" s="29">
        <f t="shared" si="4"/>
        <v>2513.3649999999998</v>
      </c>
      <c r="V17" s="29">
        <f t="shared" si="5"/>
        <v>2.4167798927742741</v>
      </c>
      <c r="W17" s="29">
        <f t="shared" si="6"/>
        <v>1145.5239999999999</v>
      </c>
      <c r="X17" s="29">
        <f t="shared" si="7"/>
        <v>2.4206476282455576</v>
      </c>
      <c r="Y17" t="s">
        <v>197</v>
      </c>
      <c r="AH17"/>
      <c r="AI17"/>
      <c r="AJ17"/>
      <c r="AK17"/>
      <c r="AL17"/>
    </row>
    <row r="18" spans="1:38" s="29" customFormat="1" ht="17" thickBot="1">
      <c r="A18" s="5" t="str">
        <f>'Empir ANSTO corr wheel2 only '!A40</f>
        <v>14CO_UR_DC_ICE_SAMPLE_11</v>
      </c>
      <c r="B18" s="56" t="s">
        <v>174</v>
      </c>
      <c r="C18" s="33">
        <v>-38.549999999999997</v>
      </c>
      <c r="D18" s="33">
        <v>0.6</v>
      </c>
      <c r="E18" s="29">
        <f>'Empir ANSTO corr'!B43</f>
        <v>108.7001516972462</v>
      </c>
      <c r="F18" s="29">
        <f>'Empir ANSTO corr'!C43</f>
        <v>0.64391278399995633</v>
      </c>
      <c r="G18" s="29">
        <f>'Empir ANSTO corr'!P43</f>
        <v>106.68068993357186</v>
      </c>
      <c r="H18" s="29">
        <f>'Empir ANSTO corr'!Q43</f>
        <v>1.6378534475487443</v>
      </c>
      <c r="I18">
        <v>102.00919250892584</v>
      </c>
      <c r="J18">
        <v>2</v>
      </c>
      <c r="K18">
        <v>1541.2280000000001</v>
      </c>
      <c r="L18" s="29">
        <f t="shared" si="0"/>
        <v>0.1541228</v>
      </c>
      <c r="M18" s="54">
        <v>22.6</v>
      </c>
      <c r="N18" s="29">
        <f t="shared" si="1"/>
        <v>295.75</v>
      </c>
      <c r="O18" s="29">
        <v>0.2</v>
      </c>
      <c r="P18">
        <v>2673.38</v>
      </c>
      <c r="Q18" s="29">
        <f t="shared" si="2"/>
        <v>0.26733800000000002</v>
      </c>
      <c r="R18" s="54">
        <v>23</v>
      </c>
      <c r="S18" s="29">
        <f t="shared" si="3"/>
        <v>296.14999999999998</v>
      </c>
      <c r="T18" s="29">
        <v>0.2</v>
      </c>
      <c r="U18" s="29">
        <f t="shared" si="4"/>
        <v>2669.7691541448594</v>
      </c>
      <c r="V18" s="29">
        <f t="shared" si="5"/>
        <v>2.5654592915826804</v>
      </c>
      <c r="W18" s="29">
        <f t="shared" si="6"/>
        <v>1128.5411541448593</v>
      </c>
      <c r="X18" s="29">
        <f t="shared" si="7"/>
        <v>2.5700846706378662</v>
      </c>
      <c r="Y18"/>
      <c r="AH18"/>
      <c r="AI18"/>
      <c r="AJ18"/>
      <c r="AK18"/>
      <c r="AL18"/>
    </row>
    <row r="19" spans="1:38" s="29" customFormat="1" ht="17" thickBot="1">
      <c r="A19" s="5" t="str">
        <f>'Empir ANSTO corr wheel2 only '!A41</f>
        <v>14CO_UR_DC_WATER_BLANK_1</v>
      </c>
      <c r="B19" s="59" t="s">
        <v>175</v>
      </c>
      <c r="C19" s="33">
        <v>-38.549999999999997</v>
      </c>
      <c r="D19" s="33">
        <v>0.6</v>
      </c>
      <c r="E19" s="29">
        <f>'Empir ANSTO corr'!B44</f>
        <v>4.7660133682873189</v>
      </c>
      <c r="F19" s="29">
        <f>'Empir ANSTO corr'!C44</f>
        <v>0.24820155959973905</v>
      </c>
      <c r="G19" s="29">
        <f>'Empir ANSTO corr'!P44</f>
        <v>4.2248644420160222</v>
      </c>
      <c r="H19" s="29">
        <f>'Empir ANSTO corr'!Q44</f>
        <v>0.27445010208357773</v>
      </c>
      <c r="I19">
        <v>19.314382438620893</v>
      </c>
      <c r="J19">
        <v>2</v>
      </c>
      <c r="K19">
        <v>1246.575</v>
      </c>
      <c r="L19" s="29">
        <f t="shared" si="0"/>
        <v>0.1246575</v>
      </c>
      <c r="M19" s="54">
        <v>22.6</v>
      </c>
      <c r="N19" s="29">
        <f t="shared" si="1"/>
        <v>295.75</v>
      </c>
      <c r="O19" s="29">
        <v>0.2</v>
      </c>
      <c r="P19">
        <v>2386.0659999999998</v>
      </c>
      <c r="Q19" s="29">
        <f t="shared" si="2"/>
        <v>0.2386066</v>
      </c>
      <c r="R19" s="54">
        <v>22.6</v>
      </c>
      <c r="S19" s="29">
        <f t="shared" si="3"/>
        <v>295.75</v>
      </c>
      <c r="T19" s="29">
        <v>0.2</v>
      </c>
      <c r="U19" s="29">
        <f t="shared" si="4"/>
        <v>2386.0659999999998</v>
      </c>
      <c r="V19" s="29">
        <f t="shared" si="5"/>
        <v>2.2943728155808412</v>
      </c>
      <c r="W19" s="29">
        <f t="shared" si="6"/>
        <v>1139.4909999999998</v>
      </c>
      <c r="X19" s="29">
        <f t="shared" si="7"/>
        <v>2.2977567558779164</v>
      </c>
      <c r="Y19"/>
      <c r="AH19"/>
      <c r="AI19"/>
      <c r="AJ19"/>
      <c r="AK19"/>
      <c r="AL19"/>
    </row>
    <row r="20" spans="1:38" s="29" customFormat="1" ht="17" thickBot="1">
      <c r="A20" s="5" t="str">
        <f>'Empir ANSTO corr wheel2 only '!A42</f>
        <v>14CO_UR_DC_ICE_SAMPLE_1</v>
      </c>
      <c r="B20" s="58" t="s">
        <v>176</v>
      </c>
      <c r="C20" s="33">
        <v>-38.549999999999997</v>
      </c>
      <c r="D20" s="33">
        <v>0.6</v>
      </c>
      <c r="E20" s="29">
        <f>'Empir ANSTO corr'!B45</f>
        <v>100.60366871235196</v>
      </c>
      <c r="F20" s="29">
        <f>'Empir ANSTO corr'!C45</f>
        <v>1.1439507838065202</v>
      </c>
      <c r="G20" s="29">
        <f>'Empir ANSTO corr'!P45</f>
        <v>98.699367712280633</v>
      </c>
      <c r="H20" s="29">
        <f>'Empir ANSTO corr'!Q45</f>
        <v>2.0073077241478474</v>
      </c>
      <c r="I20">
        <v>153.91143943534055</v>
      </c>
      <c r="J20">
        <v>2</v>
      </c>
      <c r="K20">
        <v>1395.451</v>
      </c>
      <c r="L20" s="29">
        <f t="shared" si="0"/>
        <v>0.13954510000000001</v>
      </c>
      <c r="M20" s="54">
        <v>22.6</v>
      </c>
      <c r="N20" s="29">
        <f t="shared" si="1"/>
        <v>295.75</v>
      </c>
      <c r="O20" s="29">
        <v>0.2</v>
      </c>
      <c r="P20">
        <v>2534.0729999999999</v>
      </c>
      <c r="Q20" s="29">
        <f t="shared" si="2"/>
        <v>0.2534073</v>
      </c>
      <c r="R20" s="54">
        <v>22.7</v>
      </c>
      <c r="S20" s="29">
        <f t="shared" si="3"/>
        <v>295.84999999999997</v>
      </c>
      <c r="T20" s="29">
        <v>0.2</v>
      </c>
      <c r="U20" s="29">
        <f t="shared" si="4"/>
        <v>2533.2164601994255</v>
      </c>
      <c r="V20" s="29">
        <f t="shared" si="5"/>
        <v>2.4354613033274877</v>
      </c>
      <c r="W20" s="29">
        <f t="shared" si="6"/>
        <v>1137.7654601994254</v>
      </c>
      <c r="X20" s="29">
        <f t="shared" si="7"/>
        <v>2.4394557989313181</v>
      </c>
      <c r="Y20"/>
      <c r="AH20"/>
      <c r="AI20"/>
      <c r="AJ20"/>
      <c r="AK20"/>
      <c r="AL20"/>
    </row>
    <row r="21" spans="1:38" s="29" customFormat="1" ht="17" thickBot="1">
      <c r="A21" s="5" t="str">
        <f>'Empir ANSTO corr wheel2 only '!A43</f>
        <v>14CO_UR_DC_ICE_SAMPLE_9</v>
      </c>
      <c r="B21" s="56" t="s">
        <v>177</v>
      </c>
      <c r="C21" s="33">
        <v>-38.549999999999997</v>
      </c>
      <c r="D21" s="33">
        <v>0.6</v>
      </c>
      <c r="E21" s="29">
        <f>'Empir ANSTO corr'!B46</f>
        <v>127.26811305163167</v>
      </c>
      <c r="F21" s="29">
        <f>'Empir ANSTO corr'!C46</f>
        <v>0.69799556276956543</v>
      </c>
      <c r="G21" s="29">
        <f>'Empir ANSTO corr'!P46</f>
        <v>124.98454888545592</v>
      </c>
      <c r="H21" s="29">
        <f>'Empir ANSTO corr'!Q46</f>
        <v>1.8732727590231475</v>
      </c>
      <c r="I21">
        <v>138.58843601476715</v>
      </c>
      <c r="J21">
        <v>2</v>
      </c>
      <c r="K21">
        <v>1322.068</v>
      </c>
      <c r="L21" s="29">
        <f t="shared" si="0"/>
        <v>0.13220680000000001</v>
      </c>
      <c r="M21" s="54">
        <v>22.8</v>
      </c>
      <c r="N21" s="29">
        <f t="shared" si="1"/>
        <v>295.95</v>
      </c>
      <c r="O21" s="29">
        <v>0.2</v>
      </c>
      <c r="P21">
        <v>2458.018</v>
      </c>
      <c r="Q21" s="29">
        <f t="shared" si="2"/>
        <v>0.24580180000000001</v>
      </c>
      <c r="R21" s="54">
        <v>22.8</v>
      </c>
      <c r="S21" s="29">
        <f t="shared" si="3"/>
        <v>295.95</v>
      </c>
      <c r="T21" s="29">
        <v>0.2</v>
      </c>
      <c r="U21" s="29">
        <f t="shared" si="4"/>
        <v>2458.018</v>
      </c>
      <c r="V21" s="29">
        <f t="shared" si="5"/>
        <v>2.3619798116851682</v>
      </c>
      <c r="W21" s="29">
        <f t="shared" si="6"/>
        <v>1135.95</v>
      </c>
      <c r="X21" s="29">
        <f t="shared" si="7"/>
        <v>2.3656769155517714</v>
      </c>
      <c r="Y21"/>
      <c r="AH21"/>
      <c r="AI21"/>
      <c r="AJ21"/>
      <c r="AK21"/>
      <c r="AL21"/>
    </row>
    <row r="22" spans="1:38" s="29" customFormat="1" ht="17" thickBot="1">
      <c r="A22" s="5" t="str">
        <f>'Empir ANSTO corr wheel2 only '!A44</f>
        <v>14CO_UR_DC_ICE_SAMPLE_3</v>
      </c>
      <c r="B22" s="56" t="s">
        <v>178</v>
      </c>
      <c r="C22" s="33">
        <v>-38.549999999999997</v>
      </c>
      <c r="D22" s="33">
        <v>0.6</v>
      </c>
      <c r="E22" s="29">
        <f>'Empir ANSTO corr'!B47</f>
        <v>143.99043324463091</v>
      </c>
      <c r="F22" s="29">
        <f>'Empir ANSTO corr'!C47</f>
        <v>1.923683679265475</v>
      </c>
      <c r="G22" s="29">
        <f>'Empir ANSTO corr'!P47</f>
        <v>141.4690182528272</v>
      </c>
      <c r="H22" s="29">
        <f>'Empir ANSTO corr'!Q47</f>
        <v>3.1480395079614452</v>
      </c>
      <c r="I22">
        <v>84.903855341468073</v>
      </c>
      <c r="J22">
        <v>2</v>
      </c>
      <c r="K22">
        <v>1502.5250000000001</v>
      </c>
      <c r="L22" s="29">
        <f t="shared" si="0"/>
        <v>0.15025250000000001</v>
      </c>
      <c r="M22" s="54">
        <v>22.8</v>
      </c>
      <c r="N22" s="29">
        <f t="shared" si="1"/>
        <v>295.95</v>
      </c>
      <c r="O22" s="29">
        <v>0.2</v>
      </c>
      <c r="P22">
        <v>2641.7939999999999</v>
      </c>
      <c r="Q22" s="29">
        <f t="shared" si="2"/>
        <v>0.26417940000000001</v>
      </c>
      <c r="R22" s="54">
        <v>22.8</v>
      </c>
      <c r="S22" s="29">
        <f t="shared" si="3"/>
        <v>295.95</v>
      </c>
      <c r="T22" s="29">
        <v>0.2</v>
      </c>
      <c r="U22" s="29">
        <f t="shared" si="4"/>
        <v>2641.7939999999999</v>
      </c>
      <c r="V22" s="29">
        <f t="shared" si="5"/>
        <v>2.5385754272877605</v>
      </c>
      <c r="W22" s="29">
        <f t="shared" si="6"/>
        <v>1139.2689999999998</v>
      </c>
      <c r="X22" s="29">
        <f t="shared" si="7"/>
        <v>2.5430180915175349</v>
      </c>
      <c r="Y22"/>
      <c r="AH22"/>
      <c r="AI22"/>
      <c r="AJ22"/>
      <c r="AK22"/>
      <c r="AL22"/>
    </row>
    <row r="23" spans="1:38" s="29" customFormat="1" ht="17" thickBot="1">
      <c r="A23" s="5" t="str">
        <f>'Empir ANSTO corr wheel2 only '!A45</f>
        <v>14CO_UR_DC_ICE_SAMPLE_12</v>
      </c>
      <c r="B23" s="56" t="s">
        <v>179</v>
      </c>
      <c r="C23" s="33">
        <v>-38.549999999999997</v>
      </c>
      <c r="D23" s="33">
        <v>0.6</v>
      </c>
      <c r="E23" s="29">
        <f>'Empir ANSTO corr'!B48</f>
        <v>126.89290028805314</v>
      </c>
      <c r="F23" s="29">
        <f>'Empir ANSTO corr'!C48</f>
        <v>1.1222445345620879</v>
      </c>
      <c r="G23" s="29">
        <f>'Empir ANSTO corr'!P48</f>
        <v>124.6146729809121</v>
      </c>
      <c r="H23" s="29">
        <f>'Empir ANSTO corr'!Q48</f>
        <v>2.2389445301371045</v>
      </c>
      <c r="I23">
        <v>93.091512765742777</v>
      </c>
      <c r="J23">
        <v>2</v>
      </c>
      <c r="K23">
        <v>1602.7349999999999</v>
      </c>
      <c r="L23" s="29">
        <f t="shared" si="0"/>
        <v>0.16027349999999999</v>
      </c>
      <c r="M23" s="54">
        <v>22.7</v>
      </c>
      <c r="N23" s="29">
        <f t="shared" si="1"/>
        <v>295.84999999999997</v>
      </c>
      <c r="O23" s="29">
        <v>0.2</v>
      </c>
      <c r="P23">
        <v>2742.5659999999998</v>
      </c>
      <c r="Q23" s="29">
        <f t="shared" si="2"/>
        <v>0.27425660000000002</v>
      </c>
      <c r="R23" s="54">
        <v>22.8</v>
      </c>
      <c r="S23" s="29">
        <f t="shared" si="3"/>
        <v>295.95</v>
      </c>
      <c r="T23" s="29">
        <v>0.2</v>
      </c>
      <c r="U23" s="29">
        <f t="shared" si="4"/>
        <v>2741.639300895421</v>
      </c>
      <c r="V23" s="29">
        <f t="shared" si="5"/>
        <v>2.6349600947102232</v>
      </c>
      <c r="W23" s="29">
        <f t="shared" si="6"/>
        <v>1138.9043008954211</v>
      </c>
      <c r="X23" s="29">
        <f t="shared" si="7"/>
        <v>2.6398299747365468</v>
      </c>
      <c r="Y23" t="s">
        <v>198</v>
      </c>
      <c r="AH23"/>
      <c r="AI23"/>
      <c r="AJ23"/>
      <c r="AK23"/>
      <c r="AL23"/>
    </row>
    <row r="24" spans="1:38" s="29" customFormat="1" ht="17" thickBot="1">
      <c r="A24" s="5" t="str">
        <f>'Empir ANSTO corr wheel2 only '!A46</f>
        <v>14CO_UR_DC_ICE_SAMPLE_4</v>
      </c>
      <c r="B24" s="56" t="s">
        <v>180</v>
      </c>
      <c r="C24" s="33">
        <v>-38.549999999999997</v>
      </c>
      <c r="D24" s="33">
        <v>0.6</v>
      </c>
      <c r="E24" s="29">
        <f>'Empir ANSTO corr'!B49</f>
        <v>143.78761553458847</v>
      </c>
      <c r="F24" s="29">
        <f>'Empir ANSTO corr'!C49</f>
        <v>1.1644026230547475</v>
      </c>
      <c r="G24" s="29">
        <f>'Empir ANSTO corr'!P49</f>
        <v>141.26908533145215</v>
      </c>
      <c r="H24" s="29">
        <f>'Empir ANSTO corr'!Q49</f>
        <v>2.4419046048440216</v>
      </c>
      <c r="I24">
        <v>105.3594715428399</v>
      </c>
      <c r="J24">
        <v>2</v>
      </c>
      <c r="K24">
        <v>1422.5719999999999</v>
      </c>
      <c r="L24" s="29">
        <f t="shared" si="0"/>
        <v>0.1422572</v>
      </c>
      <c r="M24" s="54">
        <v>22.4</v>
      </c>
      <c r="N24" s="29">
        <f t="shared" si="1"/>
        <v>295.54999999999995</v>
      </c>
      <c r="O24" s="29">
        <v>0.2</v>
      </c>
      <c r="P24">
        <v>2549.4450000000002</v>
      </c>
      <c r="Q24" s="29">
        <f t="shared" si="2"/>
        <v>0.25494450000000002</v>
      </c>
      <c r="R24" s="54">
        <v>22.4</v>
      </c>
      <c r="S24" s="29">
        <f t="shared" si="3"/>
        <v>295.54999999999995</v>
      </c>
      <c r="T24" s="29">
        <v>0.2</v>
      </c>
      <c r="U24" s="29">
        <f t="shared" si="4"/>
        <v>2549.4450000000002</v>
      </c>
      <c r="V24" s="29">
        <f t="shared" si="5"/>
        <v>2.4531143760262797</v>
      </c>
      <c r="W24" s="29">
        <f t="shared" si="6"/>
        <v>1126.8730000000003</v>
      </c>
      <c r="X24" s="29">
        <f t="shared" si="7"/>
        <v>2.4572356933795838</v>
      </c>
      <c r="Y24"/>
      <c r="AH24"/>
      <c r="AI24"/>
      <c r="AJ24"/>
      <c r="AK24"/>
      <c r="AL24"/>
    </row>
    <row r="25" spans="1:38" s="29" customFormat="1" ht="17" thickBot="1">
      <c r="A25" s="5" t="str">
        <f>'Empir ANSTO corr wheel2 only '!A47</f>
        <v>14CO_UR_DC_WATER_BLANK_3</v>
      </c>
      <c r="B25" s="56" t="s">
        <v>181</v>
      </c>
      <c r="C25" s="33">
        <v>-38.549999999999997</v>
      </c>
      <c r="D25" s="33">
        <v>0.6</v>
      </c>
      <c r="E25" s="29">
        <f>'Empir ANSTO corr'!B50</f>
        <v>4.0441851382462719</v>
      </c>
      <c r="F25" s="29">
        <f>'Empir ANSTO corr'!C50</f>
        <v>0.11950233236060574</v>
      </c>
      <c r="G25" s="29">
        <f>'Empir ANSTO corr'!P50</f>
        <v>3.5133031748422883</v>
      </c>
      <c r="H25" s="29">
        <f>'Empir ANSTO corr'!Q50</f>
        <v>0.14448824995361892</v>
      </c>
      <c r="I25">
        <v>24.04864915025043</v>
      </c>
      <c r="J25">
        <v>2</v>
      </c>
      <c r="K25">
        <v>1173.8679999999999</v>
      </c>
      <c r="L25" s="29">
        <f t="shared" si="0"/>
        <v>0.1173868</v>
      </c>
      <c r="M25" s="54">
        <v>22.6</v>
      </c>
      <c r="N25" s="29">
        <f t="shared" si="1"/>
        <v>295.75</v>
      </c>
      <c r="O25" s="29">
        <v>0.2</v>
      </c>
      <c r="P25">
        <v>2314.1410000000001</v>
      </c>
      <c r="Q25" s="29">
        <f t="shared" si="2"/>
        <v>0.23141410000000001</v>
      </c>
      <c r="R25" s="54">
        <v>22.6</v>
      </c>
      <c r="S25" s="29">
        <f t="shared" si="3"/>
        <v>295.75</v>
      </c>
      <c r="T25" s="29">
        <v>0.2</v>
      </c>
      <c r="U25" s="29">
        <f t="shared" si="4"/>
        <v>2314.1410000000001</v>
      </c>
      <c r="V25" s="29">
        <f t="shared" si="5"/>
        <v>2.2252117928930151</v>
      </c>
      <c r="W25" s="29">
        <f t="shared" si="6"/>
        <v>1140.2730000000001</v>
      </c>
      <c r="X25" s="29">
        <f t="shared" si="7"/>
        <v>2.228305900015612</v>
      </c>
      <c r="Y25"/>
      <c r="AH25"/>
      <c r="AI25"/>
      <c r="AJ25"/>
      <c r="AK25"/>
      <c r="AL25"/>
    </row>
    <row r="26" spans="1:38" s="29" customFormat="1" ht="17" thickBot="1">
      <c r="A26" s="5" t="str">
        <f>'Empir ANSTO corr wheel2 only '!A48</f>
        <v>14CO_UR_DC_ICE_SAMPLE_7</v>
      </c>
      <c r="B26" s="56" t="s">
        <v>182</v>
      </c>
      <c r="C26" s="33">
        <v>-38.549999999999997</v>
      </c>
      <c r="D26" s="33">
        <v>0.6</v>
      </c>
      <c r="E26" s="29">
        <f>'Empir ANSTO corr'!B51</f>
        <v>149.44622964477259</v>
      </c>
      <c r="F26" s="29">
        <f>'Empir ANSTO corr'!C51</f>
        <v>1.2774979656098322</v>
      </c>
      <c r="G26" s="29">
        <f>'Empir ANSTO corr'!P51</f>
        <v>146.84721383781553</v>
      </c>
      <c r="H26" s="29">
        <f>'Empir ANSTO corr'!Q51</f>
        <v>2.5989502938417015</v>
      </c>
      <c r="I26">
        <v>101.01306176528465</v>
      </c>
      <c r="J26">
        <v>2</v>
      </c>
      <c r="K26">
        <v>1505.4749999999999</v>
      </c>
      <c r="L26" s="29">
        <f t="shared" si="0"/>
        <v>0.1505475</v>
      </c>
      <c r="M26" s="54">
        <v>22.7</v>
      </c>
      <c r="N26" s="29">
        <f t="shared" si="1"/>
        <v>295.84999999999997</v>
      </c>
      <c r="O26" s="29">
        <v>0.2</v>
      </c>
      <c r="P26">
        <v>2643.06</v>
      </c>
      <c r="Q26" s="29">
        <f t="shared" si="2"/>
        <v>0.26430599999999999</v>
      </c>
      <c r="R26" s="54">
        <v>22.7</v>
      </c>
      <c r="S26" s="29">
        <f t="shared" si="3"/>
        <v>295.84999999999997</v>
      </c>
      <c r="T26" s="29">
        <v>0.2</v>
      </c>
      <c r="U26" s="29">
        <f t="shared" si="4"/>
        <v>2643.06</v>
      </c>
      <c r="V26" s="29">
        <f t="shared" si="5"/>
        <v>2.5406411402876161</v>
      </c>
      <c r="W26" s="29">
        <f t="shared" si="6"/>
        <v>1137.585</v>
      </c>
      <c r="X26" s="29">
        <f t="shared" si="7"/>
        <v>2.5450976314236371</v>
      </c>
      <c r="Y26" t="s">
        <v>199</v>
      </c>
      <c r="AH26"/>
      <c r="AI26"/>
      <c r="AJ26"/>
      <c r="AK26"/>
      <c r="AL26"/>
    </row>
    <row r="27" spans="1:38" s="34" customFormat="1" ht="17" thickBot="1">
      <c r="A27" s="36" t="str">
        <f>'Empir ANSTO corr wheel2 only '!A49</f>
        <v>14CO_UR_DC_ICE_SAMPLE_2</v>
      </c>
      <c r="B27" s="56" t="s">
        <v>183</v>
      </c>
      <c r="C27" s="37">
        <v>-38.549999999999997</v>
      </c>
      <c r="D27" s="37">
        <v>0.6</v>
      </c>
      <c r="E27" s="34">
        <f>'Empir ANSTO corr'!B52</f>
        <v>92.673496249692519</v>
      </c>
      <c r="F27" s="34">
        <f>'Empir ANSTO corr'!C52</f>
        <v>7.9096185038393614</v>
      </c>
      <c r="G27" s="34">
        <f>'Empir ANSTO corr'!P52</f>
        <v>90.881990486516941</v>
      </c>
      <c r="H27" s="34">
        <f>'Empir ANSTO corr'!Q52</f>
        <v>8.5576346579532192</v>
      </c>
      <c r="I27" s="24">
        <v>93.560394049254228</v>
      </c>
      <c r="J27" s="24">
        <v>2</v>
      </c>
      <c r="K27" s="24">
        <v>1484.088</v>
      </c>
      <c r="L27" s="34">
        <f t="shared" si="0"/>
        <v>0.14840880000000001</v>
      </c>
      <c r="M27" s="39">
        <v>22.7</v>
      </c>
      <c r="N27" s="34">
        <f t="shared" si="1"/>
        <v>295.84999999999997</v>
      </c>
      <c r="O27" s="34">
        <v>0.2</v>
      </c>
      <c r="P27" s="24">
        <v>2619.5639999999999</v>
      </c>
      <c r="Q27" s="34">
        <f t="shared" si="2"/>
        <v>0.26195639999999998</v>
      </c>
      <c r="R27" s="39">
        <v>22.7</v>
      </c>
      <c r="S27" s="34">
        <f t="shared" si="3"/>
        <v>295.84999999999997</v>
      </c>
      <c r="T27" s="34">
        <v>0.2</v>
      </c>
      <c r="U27" s="34">
        <f t="shared" si="4"/>
        <v>2619.5639999999999</v>
      </c>
      <c r="V27" s="34">
        <f t="shared" si="5"/>
        <v>2.5180556128186224</v>
      </c>
      <c r="W27" s="34">
        <f t="shared" si="6"/>
        <v>1135.4759999999999</v>
      </c>
      <c r="X27" s="34">
        <f t="shared" si="7"/>
        <v>2.5224252696888381</v>
      </c>
      <c r="Y27" t="s">
        <v>200</v>
      </c>
      <c r="AH27" s="24"/>
      <c r="AI27" s="24"/>
      <c r="AJ27" s="24"/>
      <c r="AK27" s="24"/>
      <c r="AL27" s="24"/>
    </row>
    <row r="28" spans="1:38" s="29" customFormat="1" ht="17" thickBot="1">
      <c r="A28" s="5" t="str">
        <f>'Empir ANSTO corr wheel2 only '!A50</f>
        <v>14CO_UR_DC_FIRN_SAMPLE_2</v>
      </c>
      <c r="B28" s="60" t="s">
        <v>184</v>
      </c>
      <c r="C28" s="33">
        <v>-38.549999999999997</v>
      </c>
      <c r="D28" s="33">
        <v>0.6</v>
      </c>
      <c r="E28" s="29">
        <f>'Empir ANSTO corr'!B53</f>
        <v>123.12049088126375</v>
      </c>
      <c r="F28" s="29">
        <f>'Empir ANSTO corr'!C53</f>
        <v>1.3689887107006893</v>
      </c>
      <c r="G28" s="29">
        <f>'Empir ANSTO corr'!P53</f>
        <v>120.89592064333654</v>
      </c>
      <c r="H28" s="29">
        <f>'Empir ANSTO corr'!Q53</f>
        <v>2.4302418877347454</v>
      </c>
      <c r="I28">
        <v>87.228568789428721</v>
      </c>
      <c r="J28">
        <v>2</v>
      </c>
      <c r="K28">
        <v>1284.296</v>
      </c>
      <c r="L28" s="29">
        <f t="shared" si="0"/>
        <v>0.1284296</v>
      </c>
      <c r="M28" s="54">
        <v>22.6</v>
      </c>
      <c r="N28" s="29">
        <f t="shared" si="1"/>
        <v>295.75</v>
      </c>
      <c r="O28" s="29">
        <v>0.2</v>
      </c>
      <c r="P28">
        <v>2422.2620000000002</v>
      </c>
      <c r="Q28" s="29">
        <f t="shared" si="2"/>
        <v>0.24222620000000003</v>
      </c>
      <c r="R28" s="54">
        <v>22.7</v>
      </c>
      <c r="S28" s="29">
        <f t="shared" si="3"/>
        <v>295.84999999999997</v>
      </c>
      <c r="T28" s="29">
        <v>0.2</v>
      </c>
      <c r="U28" s="29">
        <f t="shared" si="4"/>
        <v>2421.4432533378408</v>
      </c>
      <c r="V28" s="29">
        <f t="shared" si="5"/>
        <v>2.3280013509952746</v>
      </c>
      <c r="W28" s="29">
        <f t="shared" si="6"/>
        <v>1137.1472533378408</v>
      </c>
      <c r="X28" s="29">
        <f t="shared" si="7"/>
        <v>2.3315412182485611</v>
      </c>
      <c r="Y28"/>
      <c r="AH28"/>
      <c r="AI28"/>
      <c r="AJ28"/>
      <c r="AK28"/>
      <c r="AL28"/>
    </row>
    <row r="29" spans="1:38" s="29" customFormat="1" ht="17" thickBot="1">
      <c r="A29" s="5" t="str">
        <f>'Empir ANSTO corr wheel2 only '!A51</f>
        <v>14CO_UR_DC_ICE_SAMPLE_5</v>
      </c>
      <c r="B29" s="56" t="s">
        <v>185</v>
      </c>
      <c r="C29" s="33">
        <v>-38.549999999999997</v>
      </c>
      <c r="D29" s="33">
        <v>0.6</v>
      </c>
      <c r="E29" s="29">
        <f>'Empir ANSTO corr'!B54</f>
        <v>145.69410200898741</v>
      </c>
      <c r="F29" s="29">
        <f>'Empir ANSTO corr'!C54</f>
        <v>1.283981759472077</v>
      </c>
      <c r="G29" s="29">
        <f>'Empir ANSTO corr'!P54</f>
        <v>143.14845479237744</v>
      </c>
      <c r="H29" s="29">
        <f>'Empir ANSTO corr'!Q54</f>
        <v>2.5683010761368545</v>
      </c>
      <c r="I29">
        <v>86.683086748847941</v>
      </c>
      <c r="J29">
        <v>2</v>
      </c>
      <c r="K29">
        <v>1424.41</v>
      </c>
      <c r="L29" s="29">
        <f t="shared" si="0"/>
        <v>0.14244100000000001</v>
      </c>
      <c r="M29" s="54">
        <v>22.3</v>
      </c>
      <c r="N29" s="29">
        <f t="shared" si="1"/>
        <v>295.45</v>
      </c>
      <c r="O29" s="29">
        <v>0.2</v>
      </c>
      <c r="P29">
        <v>2563.1860000000001</v>
      </c>
      <c r="Q29" s="29">
        <f t="shared" si="2"/>
        <v>0.25631860000000001</v>
      </c>
      <c r="R29" s="54">
        <v>22.8</v>
      </c>
      <c r="S29" s="29">
        <f t="shared" si="3"/>
        <v>295.95</v>
      </c>
      <c r="T29" s="29">
        <v>0.2</v>
      </c>
      <c r="U29" s="29">
        <f t="shared" si="4"/>
        <v>2558.8555624260857</v>
      </c>
      <c r="V29" s="29">
        <f t="shared" si="5"/>
        <v>2.4609364775799385</v>
      </c>
      <c r="W29" s="29">
        <f t="shared" si="6"/>
        <v>1134.4455624260856</v>
      </c>
      <c r="X29" s="29">
        <f t="shared" si="7"/>
        <v>2.4650553310553813</v>
      </c>
      <c r="Y29" t="s">
        <v>201</v>
      </c>
      <c r="AH29"/>
      <c r="AI29"/>
      <c r="AJ29"/>
      <c r="AK29"/>
      <c r="AL29"/>
    </row>
    <row r="30" spans="1:38" s="29" customFormat="1" ht="17" thickBot="1">
      <c r="A30" s="5" t="str">
        <f>'Empir ANSTO corr wheel2 only '!A52</f>
        <v>14CO_UR_DC_WATER_BLANK_5</v>
      </c>
      <c r="B30" s="56" t="s">
        <v>186</v>
      </c>
      <c r="C30" s="33">
        <v>-38.549999999999997</v>
      </c>
      <c r="D30" s="33">
        <v>0.6</v>
      </c>
      <c r="E30" s="29">
        <f>'Empir ANSTO corr'!B55</f>
        <v>4.5067109259980578</v>
      </c>
      <c r="F30" s="29">
        <f>'Empir ANSTO corr'!C55</f>
        <v>0.12510276670640236</v>
      </c>
      <c r="G30" s="29">
        <f>'Empir ANSTO corr'!P55</f>
        <v>3.9692502020380451</v>
      </c>
      <c r="H30" s="29">
        <f>'Empir ANSTO corr'!Q55</f>
        <v>0.15378771396862442</v>
      </c>
      <c r="I30">
        <v>39.772949289023067</v>
      </c>
      <c r="J30">
        <v>2</v>
      </c>
      <c r="K30">
        <v>1337.056</v>
      </c>
      <c r="L30" s="29">
        <f t="shared" si="0"/>
        <v>0.13370560000000001</v>
      </c>
      <c r="M30" s="54">
        <v>22.2</v>
      </c>
      <c r="N30" s="29">
        <f t="shared" si="1"/>
        <v>295.34999999999997</v>
      </c>
      <c r="O30" s="29">
        <v>0.2</v>
      </c>
      <c r="P30">
        <v>2470.317</v>
      </c>
      <c r="Q30" s="29">
        <f t="shared" si="2"/>
        <v>0.24703170000000002</v>
      </c>
      <c r="R30" s="54">
        <v>22.7</v>
      </c>
      <c r="S30" s="29">
        <f t="shared" si="3"/>
        <v>295.84999999999997</v>
      </c>
      <c r="T30" s="29">
        <v>0.2</v>
      </c>
      <c r="U30" s="29">
        <f t="shared" si="4"/>
        <v>2466.1420515463915</v>
      </c>
      <c r="V30" s="29">
        <f t="shared" si="5"/>
        <v>2.3725644979507416</v>
      </c>
      <c r="W30" s="29">
        <f t="shared" si="6"/>
        <v>1129.0860515463914</v>
      </c>
      <c r="X30" s="29">
        <f t="shared" si="7"/>
        <v>2.3763289933019824</v>
      </c>
      <c r="Y30"/>
      <c r="AH30"/>
      <c r="AI30"/>
      <c r="AJ30"/>
      <c r="AK30"/>
      <c r="AL30"/>
    </row>
    <row r="31" spans="1:38" s="29" customFormat="1" ht="17" thickBot="1">
      <c r="A31" s="5" t="str">
        <f>'Empir ANSTO corr wheel2 only '!A53</f>
        <v>14CO_UR_DC_ICE_SAMPLE_14</v>
      </c>
      <c r="B31" s="55" t="s">
        <v>187</v>
      </c>
      <c r="C31" s="33">
        <v>-38.549999999999997</v>
      </c>
      <c r="D31" s="33">
        <v>0.6</v>
      </c>
      <c r="E31" s="29">
        <f>'Empir ANSTO corr'!B56</f>
        <v>158.45133597065697</v>
      </c>
      <c r="F31" s="29">
        <f>'Empir ANSTO corr'!C56</f>
        <v>2.1211017236179428</v>
      </c>
      <c r="G31" s="29">
        <f>'Empir ANSTO corr'!P56</f>
        <v>155.72423554686691</v>
      </c>
      <c r="H31" s="29">
        <f>'Empir ANSTO corr'!Q56</f>
        <v>3.4694189758207234</v>
      </c>
      <c r="I31">
        <v>95.634397635272123</v>
      </c>
      <c r="J31">
        <v>2</v>
      </c>
      <c r="K31">
        <v>1630.1849999999999</v>
      </c>
      <c r="L31" s="29">
        <f t="shared" si="0"/>
        <v>0.16301850000000001</v>
      </c>
      <c r="M31" s="54">
        <v>22.6</v>
      </c>
      <c r="N31" s="29">
        <f t="shared" si="1"/>
        <v>295.75</v>
      </c>
      <c r="O31" s="29">
        <v>0.2</v>
      </c>
      <c r="P31">
        <v>2763.672</v>
      </c>
      <c r="Q31" s="29">
        <f t="shared" si="2"/>
        <v>0.27636720000000004</v>
      </c>
      <c r="R31" s="54">
        <v>22.9</v>
      </c>
      <c r="S31" s="29">
        <f t="shared" si="3"/>
        <v>296.04999999999995</v>
      </c>
      <c r="T31" s="29">
        <v>0.2</v>
      </c>
      <c r="U31" s="29">
        <f t="shared" si="4"/>
        <v>2760.8714541462591</v>
      </c>
      <c r="V31" s="29">
        <f t="shared" si="5"/>
        <v>2.6534448100206012</v>
      </c>
      <c r="W31" s="29">
        <f t="shared" si="6"/>
        <v>1130.6864541462592</v>
      </c>
      <c r="X31" s="29">
        <f t="shared" si="7"/>
        <v>2.6584477409133913</v>
      </c>
      <c r="Y31" t="s">
        <v>202</v>
      </c>
      <c r="AH31"/>
      <c r="AI31"/>
      <c r="AJ31"/>
      <c r="AK31"/>
      <c r="AL31"/>
    </row>
    <row r="32" spans="1:38" s="29" customFormat="1" ht="17" thickBot="1">
      <c r="A32" s="5" t="str">
        <f>'Empir ANSTO corr wheel2 only '!A54</f>
        <v>DRY INJ EXT BLK</v>
      </c>
      <c r="B32" s="56" t="s">
        <v>188</v>
      </c>
      <c r="C32" s="33">
        <v>-38.549999999999997</v>
      </c>
      <c r="D32" s="33">
        <v>0.6</v>
      </c>
      <c r="E32" s="29">
        <f>'Empir ANSTO corr'!B57</f>
        <v>6.1573428591784634</v>
      </c>
      <c r="F32" s="29">
        <f>'Empir ANSTO corr'!C57</f>
        <v>0.14180455626787217</v>
      </c>
      <c r="G32" s="29">
        <f>'Empir ANSTO corr'!P57</f>
        <v>5.5964042826487326</v>
      </c>
      <c r="H32" s="29">
        <f>'Empir ANSTO corr'!Q57</f>
        <v>0.18405853512651477</v>
      </c>
      <c r="I32">
        <v>12.183709970171684</v>
      </c>
      <c r="J32">
        <v>2</v>
      </c>
      <c r="K32">
        <v>1893.318</v>
      </c>
      <c r="L32" s="29">
        <f t="shared" si="0"/>
        <v>0.18933179999999999</v>
      </c>
      <c r="M32" s="54">
        <v>22.6</v>
      </c>
      <c r="N32" s="29">
        <f t="shared" ref="N32:N33" si="8">M32+273.15</f>
        <v>295.75</v>
      </c>
      <c r="O32" s="29">
        <v>0.2</v>
      </c>
      <c r="P32">
        <v>2779.2890000000002</v>
      </c>
      <c r="Q32" s="29">
        <f t="shared" si="2"/>
        <v>0.27792890000000003</v>
      </c>
      <c r="R32" s="54">
        <v>22.6</v>
      </c>
      <c r="S32" s="29">
        <f t="shared" ref="S32:S33" si="9">R32+273.15</f>
        <v>295.75</v>
      </c>
      <c r="T32" s="29">
        <v>1.2</v>
      </c>
      <c r="U32" s="29">
        <f t="shared" ref="U32:U33" si="10">P32/S32*N32</f>
        <v>2779.2890000000007</v>
      </c>
      <c r="V32" s="29">
        <f t="shared" ref="V32:V33" si="11">U32*SQRT((Q32/P32)^2+(O32/N32)^2+(T32/S32)^2)</f>
        <v>11.435841018663606</v>
      </c>
      <c r="W32" s="29">
        <f t="shared" ref="W32:W33" si="12">U32-K32</f>
        <v>885.97100000000069</v>
      </c>
      <c r="X32" s="29">
        <f t="shared" ref="X32:X33" si="13">SQRT(L32^2+V32^2)</f>
        <v>11.43740820005303</v>
      </c>
      <c r="Y32" t="s">
        <v>190</v>
      </c>
    </row>
    <row r="33" spans="1:79" s="29" customFormat="1" ht="17" thickBot="1">
      <c r="A33" s="5" t="str">
        <f>'Empir ANSTO corr wheel2 only '!A55</f>
        <v>HOT-DRY BLK</v>
      </c>
      <c r="B33" s="56" t="s">
        <v>189</v>
      </c>
      <c r="C33" s="33">
        <v>-38.549999999999997</v>
      </c>
      <c r="D33" s="33">
        <v>0.6</v>
      </c>
      <c r="E33" s="29">
        <f>'Empir ANSTO corr'!B58</f>
        <v>9.2717102057351646</v>
      </c>
      <c r="F33" s="29">
        <f>'Empir ANSTO corr'!C58</f>
        <v>0.17630830927121213</v>
      </c>
      <c r="G33" s="29">
        <f>'Empir ANSTO corr'!P58</f>
        <v>8.6664742568230153</v>
      </c>
      <c r="H33" s="29">
        <f>'Empir ANSTO corr'!Q58</f>
        <v>0.24450362173387863</v>
      </c>
      <c r="I33">
        <v>143.11035791597988</v>
      </c>
      <c r="J33">
        <v>2</v>
      </c>
      <c r="K33">
        <v>1980.644</v>
      </c>
      <c r="L33" s="29">
        <f t="shared" si="0"/>
        <v>0.1980644</v>
      </c>
      <c r="M33" s="54">
        <v>22.6</v>
      </c>
      <c r="N33" s="29">
        <f t="shared" si="8"/>
        <v>295.75</v>
      </c>
      <c r="O33" s="29">
        <v>0.2</v>
      </c>
      <c r="P33">
        <v>2800.3009999999999</v>
      </c>
      <c r="Q33" s="29">
        <f t="shared" si="2"/>
        <v>0.2800301</v>
      </c>
      <c r="R33" s="54">
        <v>22.7</v>
      </c>
      <c r="S33" s="29">
        <f t="shared" si="9"/>
        <v>295.84999999999997</v>
      </c>
      <c r="T33" s="29">
        <v>2.2000000000000002</v>
      </c>
      <c r="U33" s="29">
        <f t="shared" si="10"/>
        <v>2799.3544727057633</v>
      </c>
      <c r="V33" s="29">
        <f t="shared" si="11"/>
        <v>20.904336132121429</v>
      </c>
      <c r="W33" s="29">
        <f t="shared" si="12"/>
        <v>818.71047270576332</v>
      </c>
      <c r="X33" s="29">
        <f t="shared" si="13"/>
        <v>20.905274421333601</v>
      </c>
      <c r="Y33"/>
    </row>
    <row r="34" spans="1:79" ht="17" thickBot="1">
      <c r="A34" s="5"/>
      <c r="B34" s="2"/>
      <c r="C34" s="33"/>
      <c r="D34" s="33"/>
      <c r="E34" s="29"/>
      <c r="F34" s="29"/>
      <c r="G34" s="29"/>
      <c r="H34" s="29"/>
      <c r="I34" s="29"/>
      <c r="J34" s="29"/>
      <c r="K34" s="27"/>
      <c r="L34" s="27"/>
      <c r="M34" s="27"/>
      <c r="N34" s="27"/>
      <c r="O34" s="27"/>
      <c r="P34" s="27"/>
      <c r="Q34" s="27"/>
      <c r="R34" s="27"/>
      <c r="S34" s="27"/>
      <c r="T34" s="27"/>
      <c r="U34" s="27"/>
      <c r="V34" s="27"/>
      <c r="W34" s="27"/>
      <c r="X34" s="27"/>
      <c r="Y34" s="27"/>
      <c r="Z34" s="27"/>
      <c r="AA34" s="27"/>
      <c r="AB34" s="27"/>
      <c r="AC34" s="27"/>
      <c r="AD34" s="27"/>
    </row>
    <row r="35" spans="1:79" s="27" customFormat="1" ht="17" thickBot="1">
      <c r="A35" s="5" t="str">
        <f>'Empir ANSTO corr wheel2 only '!A56</f>
        <v>14CO_UR_DC_10_PPM_CO_STD_1</v>
      </c>
      <c r="B35" s="2"/>
      <c r="C35" s="33">
        <v>-38.549999999999997</v>
      </c>
      <c r="D35" s="33">
        <v>0.6</v>
      </c>
      <c r="E35" s="29">
        <f>'Empir ANSTO corr'!B59</f>
        <v>1.7301364755170421</v>
      </c>
      <c r="F35" s="29">
        <f>'Empir ANSTO corr'!C59</f>
        <v>0.11380044825319133</v>
      </c>
      <c r="G35" s="29">
        <f>'Empir ANSTO corr'!P59</f>
        <v>1.2321685084138756</v>
      </c>
      <c r="H35" s="29">
        <f>'Empir ANSTO corr'!Q59</f>
        <v>0.11924656898792868</v>
      </c>
      <c r="I35" s="64">
        <v>10230</v>
      </c>
      <c r="J35" s="31">
        <v>50</v>
      </c>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row>
    <row r="36" spans="1:79" s="27" customFormat="1" ht="16">
      <c r="A36" s="5" t="str">
        <f>'Empir ANSTO corr wheel2 only '!A57</f>
        <v>14CO_UR_DC_10_PPM_CO_STD_2</v>
      </c>
      <c r="B36" s="2"/>
      <c r="C36" s="33">
        <v>-38.549999999999997</v>
      </c>
      <c r="D36" s="33">
        <v>0.6</v>
      </c>
      <c r="E36" s="29">
        <f>'Empir ANSTO corr'!B60</f>
        <v>1.2502697735566271</v>
      </c>
      <c r="F36" s="29">
        <f>'Empir ANSTO corr'!C60</f>
        <v>7.38003609572946E-2</v>
      </c>
      <c r="G36" s="29">
        <f>'Empir ANSTO corr'!P60</f>
        <v>0.75912721644055337</v>
      </c>
      <c r="H36" s="29">
        <f>'Empir ANSTO corr'!Q60</f>
        <v>7.8442607861304844E-2</v>
      </c>
      <c r="I36" s="65">
        <v>10230</v>
      </c>
      <c r="J36" s="31">
        <v>50</v>
      </c>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row>
    <row r="37" spans="1:79" s="27" customFormat="1" ht="16">
      <c r="A37" s="29" t="s">
        <v>71</v>
      </c>
      <c r="B37" s="29"/>
      <c r="C37" s="33">
        <v>-38.549999999999997</v>
      </c>
      <c r="D37" s="33">
        <v>0.6</v>
      </c>
      <c r="E37" s="29">
        <f>AVERAGE(E35:E36)</f>
        <v>1.4902031245368346</v>
      </c>
      <c r="F37" s="29">
        <f>STDEV(E35:E36)</f>
        <v>0.33931699902183293</v>
      </c>
      <c r="G37" s="29">
        <f>AVERAGE(G35:G36)</f>
        <v>0.99564786242721448</v>
      </c>
      <c r="H37" s="29">
        <f>STDEV(G35:G36)</f>
        <v>0.33449070533558201</v>
      </c>
      <c r="I37" s="29">
        <v>10230</v>
      </c>
      <c r="J37" s="29">
        <v>50</v>
      </c>
      <c r="AB37" s="28"/>
      <c r="AC37" s="28"/>
      <c r="AD37" s="28"/>
      <c r="AE37" s="28"/>
      <c r="AF37" s="28"/>
      <c r="AG37" s="28"/>
      <c r="AH37" s="28"/>
      <c r="AI37" s="28"/>
      <c r="AJ37" s="28"/>
      <c r="AK37" s="28"/>
      <c r="AL37" s="28"/>
      <c r="AM37" s="28"/>
      <c r="AN37" s="28"/>
      <c r="AO37" s="28"/>
      <c r="AP37" s="28"/>
      <c r="AQ37" s="28"/>
      <c r="AR37" s="28"/>
      <c r="AS37" s="28"/>
      <c r="AT37" s="28"/>
      <c r="AU37" s="28"/>
      <c r="AV37" s="28"/>
      <c r="AW37" s="28"/>
    </row>
    <row r="38" spans="1:79" s="27" customFormat="1" ht="12" customHeight="1">
      <c r="AG38" s="28"/>
      <c r="AH38" s="28"/>
      <c r="AI38" s="28"/>
      <c r="AJ38" s="28"/>
      <c r="AK38" s="28"/>
      <c r="AL38" s="28"/>
      <c r="AM38" s="28"/>
      <c r="AN38" s="28"/>
      <c r="AO38" s="28"/>
      <c r="AP38" s="28"/>
      <c r="AQ38" s="28"/>
      <c r="AR38" s="28"/>
      <c r="AS38" s="28"/>
      <c r="AT38" s="28"/>
      <c r="AU38" s="28"/>
      <c r="AV38" s="28"/>
      <c r="AW38" s="28"/>
      <c r="AX38" s="28"/>
      <c r="AY38" s="28"/>
      <c r="AZ38" s="28"/>
      <c r="BA38" s="28"/>
      <c r="BB38" s="28"/>
    </row>
    <row r="39" spans="1:79" s="27" customFormat="1" ht="15" customHeight="1"/>
    <row r="40" spans="1:79" s="30" customFormat="1" ht="121" customHeight="1" thickBot="1">
      <c r="A40" s="30" t="s">
        <v>70</v>
      </c>
      <c r="B40" s="30" t="s">
        <v>69</v>
      </c>
      <c r="C40" s="30" t="s">
        <v>68</v>
      </c>
      <c r="D40" s="30" t="s">
        <v>1</v>
      </c>
      <c r="E40" s="30" t="s">
        <v>67</v>
      </c>
      <c r="F40" s="30" t="s">
        <v>1</v>
      </c>
      <c r="G40" s="30" t="s">
        <v>66</v>
      </c>
      <c r="H40" s="30" t="s">
        <v>1</v>
      </c>
      <c r="I40" s="30" t="s">
        <v>65</v>
      </c>
      <c r="J40" s="30" t="s">
        <v>64</v>
      </c>
      <c r="K40" s="30" t="s">
        <v>1</v>
      </c>
      <c r="L40" s="32" t="s">
        <v>63</v>
      </c>
      <c r="M40" s="32" t="s">
        <v>1</v>
      </c>
      <c r="N40" s="32" t="s">
        <v>62</v>
      </c>
      <c r="O40" s="32" t="s">
        <v>1</v>
      </c>
      <c r="P40" s="32" t="s">
        <v>61</v>
      </c>
      <c r="Q40" s="32" t="s">
        <v>1</v>
      </c>
      <c r="R40" s="32" t="s">
        <v>60</v>
      </c>
      <c r="S40" s="32" t="s">
        <v>1</v>
      </c>
      <c r="T40" s="32" t="s">
        <v>59</v>
      </c>
      <c r="U40" s="32" t="s">
        <v>1</v>
      </c>
      <c r="V40" s="32" t="s">
        <v>58</v>
      </c>
      <c r="W40" s="32" t="s">
        <v>1</v>
      </c>
      <c r="X40" s="32" t="s">
        <v>209</v>
      </c>
      <c r="Y40" s="32" t="s">
        <v>1</v>
      </c>
      <c r="Z40" s="32" t="s">
        <v>210</v>
      </c>
      <c r="AA40" s="32" t="s">
        <v>1</v>
      </c>
      <c r="AB40" s="32" t="s">
        <v>93</v>
      </c>
      <c r="AC40" s="32" t="s">
        <v>1</v>
      </c>
      <c r="AD40" s="32" t="s">
        <v>244</v>
      </c>
      <c r="AE40" s="32" t="s">
        <v>1</v>
      </c>
      <c r="AF40" s="32" t="s">
        <v>243</v>
      </c>
      <c r="AG40" s="32" t="s">
        <v>1</v>
      </c>
      <c r="AH40" s="32" t="s">
        <v>247</v>
      </c>
      <c r="AI40" s="32" t="s">
        <v>1</v>
      </c>
      <c r="AJ40" s="32" t="s">
        <v>248</v>
      </c>
      <c r="AK40" s="32" t="s">
        <v>1</v>
      </c>
      <c r="AL40" s="32" t="s">
        <v>249</v>
      </c>
      <c r="AM40" s="32" t="s">
        <v>1</v>
      </c>
      <c r="AN40" s="32" t="s">
        <v>250</v>
      </c>
      <c r="AO40" s="32" t="s">
        <v>1</v>
      </c>
      <c r="AP40" s="32" t="s">
        <v>268</v>
      </c>
      <c r="AQ40" s="32" t="s">
        <v>1</v>
      </c>
      <c r="AR40" s="32" t="s">
        <v>267</v>
      </c>
      <c r="AS40" s="32" t="s">
        <v>269</v>
      </c>
      <c r="AT40" s="32" t="s">
        <v>1</v>
      </c>
      <c r="AU40" s="32" t="s">
        <v>256</v>
      </c>
      <c r="AV40" s="32" t="s">
        <v>1</v>
      </c>
      <c r="AW40" s="32" t="s">
        <v>94</v>
      </c>
      <c r="AX40" s="30" t="s">
        <v>1</v>
      </c>
      <c r="AY40" s="32" t="s">
        <v>95</v>
      </c>
      <c r="AZ40" s="30" t="s">
        <v>251</v>
      </c>
      <c r="BA40" s="32" t="s">
        <v>252</v>
      </c>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row>
    <row r="41" spans="1:79" s="29" customFormat="1" ht="17" thickBot="1">
      <c r="A41" s="40" t="str">
        <f t="shared" ref="A41:A63" si="14">A9</f>
        <v>14CO_DIRECT_FILL_WITH_14C_MODERN_STANDARD</v>
      </c>
      <c r="B41" s="29">
        <f t="shared" ref="B41:B65" si="15">(I$37*W9)/(I$37*W9+I9*K9)</f>
        <v>0.98688867203268849</v>
      </c>
      <c r="C41" s="29">
        <f t="shared" ref="C41:C65" si="16">I9*K9</f>
        <v>129768.09238565648</v>
      </c>
      <c r="D41" s="29">
        <f t="shared" ref="D41:D65" si="17">C41*SQRT((J9/I9)^2+(L9/K9)^2)</f>
        <v>3680.1588791890513</v>
      </c>
      <c r="E41" s="29">
        <f t="shared" ref="E41:E65" si="18">W9*I$37</f>
        <v>9767634.5741625819</v>
      </c>
      <c r="F41" s="29">
        <f t="shared" ref="F41:F65" si="19">E41*SQRT((X9/W9)^2+(J$37/I$37)^2)</f>
        <v>55120.472607790682</v>
      </c>
      <c r="G41" s="29">
        <f t="shared" ref="G41:G63" si="20">C41+E41</f>
        <v>9897402.6665482391</v>
      </c>
      <c r="H41" s="29">
        <f t="shared" ref="H41:H63" si="21">SQRT(D41^2+F41^2)</f>
        <v>55243.190258006252</v>
      </c>
      <c r="I41" s="29">
        <f t="shared" ref="I41:I63" si="22">(C41+E41)/C41</f>
        <v>76.26992494529587</v>
      </c>
      <c r="J41" s="29">
        <f t="shared" ref="J41:J65" si="23">G41/U9</f>
        <v>3541.2735352176046</v>
      </c>
      <c r="K41" s="29">
        <f t="shared" ref="K41:K65" si="24">J41*SQRT((H41/G41)^2+(V9/U9)^2)</f>
        <v>20.05699208495561</v>
      </c>
      <c r="L41" s="31">
        <f>G9/100*EXP(-L$69*76)*(1+C9/1000)^2/0.975^2*1.1698*10^-12*J41/10^9/1000/22.4*6.02*10^23</f>
        <v>11.44112344812984</v>
      </c>
      <c r="M41" s="31">
        <f t="shared" ref="M41:M65" si="25">L41*SQRT((H9/G9)^2+(K41/J41)^2)</f>
        <v>0.29957702754197746</v>
      </c>
      <c r="N41" s="31">
        <f t="shared" ref="N41:N65" si="26">I$37/U9*W9</f>
        <v>3494.8427364754061</v>
      </c>
      <c r="O41" s="31">
        <f t="shared" ref="O41:O65" si="27">N41*SQRT((J$37/I$37)^2+(V9/U9)^2+(X9/W9)^2)</f>
        <v>20.006177142555845</v>
      </c>
      <c r="P41" s="31">
        <f>G$37/100*EXP(-L$69*76)*(1+C$37/1000)^2/0.975^2*1.1698*10^-12*N41/10^9/1000/22.4*6.02*10^23</f>
        <v>1.0540105398735298</v>
      </c>
      <c r="Q41" s="31">
        <f t="shared" ref="Q41:Q65" si="28">P41*SQRT((H$37/G$37)^2+(O41/N41)^2)</f>
        <v>0.35414921307470487</v>
      </c>
      <c r="R41" s="31">
        <f t="shared" ref="R41:R63" si="29">L41-P41</f>
        <v>10.387112908256309</v>
      </c>
      <c r="S41" s="31">
        <f t="shared" ref="S41:S63" si="30">SQRT(M41^2+Q41^2)</f>
        <v>0.46386211372812008</v>
      </c>
      <c r="T41" s="31">
        <f t="shared" ref="T41:T65" si="31">U9/K9</f>
        <v>1.5188954911865726</v>
      </c>
      <c r="U41" s="31">
        <f t="shared" ref="U41:U65" si="32">T41*SQRT((L9/K9)^2+(V9/U9)^2)</f>
        <v>1.4681603691903574E-3</v>
      </c>
      <c r="V41" s="31">
        <f t="shared" ref="V41:V63" si="33">R41*T41</f>
        <v>15.776938962796356</v>
      </c>
      <c r="W41" s="31">
        <f t="shared" ref="W41:W63" si="34">V41*SQRT((U41/T41)^2+(S41/R41)^2)</f>
        <v>0.70472309401144084</v>
      </c>
      <c r="X41" s="31"/>
      <c r="Y41" s="31"/>
      <c r="Z41" s="31"/>
      <c r="AA41" s="31"/>
      <c r="AB41"/>
      <c r="AC41"/>
      <c r="AD41"/>
      <c r="AE41"/>
      <c r="AF41"/>
      <c r="AG41"/>
      <c r="AH41"/>
      <c r="AI41"/>
      <c r="AJ41"/>
      <c r="AK41"/>
      <c r="AL41"/>
      <c r="AM41"/>
      <c r="AN41"/>
      <c r="AO41"/>
      <c r="AP41"/>
      <c r="AQ41"/>
      <c r="AR41" s="31"/>
      <c r="AS41" s="31"/>
      <c r="AT41"/>
      <c r="AU41"/>
      <c r="AV41"/>
      <c r="AW41" s="31"/>
      <c r="AX41" s="31"/>
      <c r="AY41" s="31"/>
      <c r="AZ41" s="31"/>
      <c r="BA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row>
    <row r="42" spans="1:79" s="29" customFormat="1" ht="17" thickBot="1">
      <c r="A42" s="40" t="str">
        <f t="shared" si="14"/>
        <v>14CO_UR_DC_WATER_BLANK_2</v>
      </c>
      <c r="B42" s="29">
        <f t="shared" si="15"/>
        <v>0.98312622182921228</v>
      </c>
      <c r="C42" s="29">
        <f t="shared" si="16"/>
        <v>155783.70091451754</v>
      </c>
      <c r="D42" s="29">
        <f t="shared" si="17"/>
        <v>3802.4579118105571</v>
      </c>
      <c r="E42" s="29">
        <f t="shared" si="18"/>
        <v>9076511.4814539291</v>
      </c>
      <c r="F42" s="29">
        <f t="shared" si="19"/>
        <v>52191.25725058595</v>
      </c>
      <c r="G42" s="29">
        <f t="shared" si="20"/>
        <v>9232295.1823684461</v>
      </c>
      <c r="H42" s="29">
        <f t="shared" si="21"/>
        <v>52329.590286643092</v>
      </c>
      <c r="I42" s="29">
        <f t="shared" si="22"/>
        <v>59.263550218481718</v>
      </c>
      <c r="J42" s="29">
        <f t="shared" si="23"/>
        <v>3310.8968318881175</v>
      </c>
      <c r="K42" s="29">
        <f t="shared" si="24"/>
        <v>19.034544320451754</v>
      </c>
      <c r="L42" s="31">
        <f t="shared" ref="L42:L65" si="35">G10/100*EXP(-L$69*76)*(1+C10/1000)^2/0.975^2*1.1698*10^-12*J42/10^9/1000/22.4*6.02*10^23</f>
        <v>11.21013596627937</v>
      </c>
      <c r="M42" s="31">
        <f t="shared" si="25"/>
        <v>0.40604246438114022</v>
      </c>
      <c r="N42" s="31">
        <f t="shared" si="26"/>
        <v>3255.0294932004736</v>
      </c>
      <c r="O42" s="31">
        <f t="shared" si="27"/>
        <v>18.976704180166877</v>
      </c>
      <c r="P42" s="31">
        <f t="shared" ref="P42:P65" si="36">G$37/100*EXP(-L$69*76)*(1+C$37/1000)^2/0.975^2*1.1698*10^-12*N42/10^9/1000/22.4*6.02*10^23</f>
        <v>0.98168520077459454</v>
      </c>
      <c r="Q42" s="31">
        <f t="shared" si="28"/>
        <v>0.32984956480355315</v>
      </c>
      <c r="R42" s="31">
        <f t="shared" si="29"/>
        <v>10.228450765504776</v>
      </c>
      <c r="S42" s="31">
        <f t="shared" si="30"/>
        <v>0.5231359462719064</v>
      </c>
      <c r="T42" s="31">
        <f t="shared" si="31"/>
        <v>1.4666728683694532</v>
      </c>
      <c r="U42" s="31">
        <f t="shared" si="32"/>
        <v>1.4176821199361085E-3</v>
      </c>
      <c r="V42" s="31">
        <f t="shared" si="33"/>
        <v>15.001791223218619</v>
      </c>
      <c r="W42" s="31">
        <f t="shared" si="34"/>
        <v>0.76740631157402805</v>
      </c>
      <c r="X42" s="31">
        <v>0.99618739107356824</v>
      </c>
      <c r="Y42" s="31">
        <v>5.0614907859880542E-4</v>
      </c>
      <c r="Z42" s="31">
        <f>V42/X42</f>
        <v>15.059206086770015</v>
      </c>
      <c r="AA42" s="31">
        <f>Z42*SQRT((W42/V42)^2+(Y42/X42)^2)</f>
        <v>0.77038132683349336</v>
      </c>
      <c r="AB42"/>
      <c r="AC42"/>
      <c r="AD42"/>
      <c r="AE42"/>
      <c r="AF42"/>
      <c r="AG42"/>
      <c r="AH42"/>
      <c r="AI42"/>
      <c r="AJ42"/>
      <c r="AK42"/>
      <c r="AL42"/>
      <c r="AM42"/>
      <c r="AN42"/>
      <c r="AO42"/>
      <c r="AP42"/>
      <c r="AQ42"/>
      <c r="AR42" s="31"/>
      <c r="AS42" s="31"/>
      <c r="AT42"/>
      <c r="AU42"/>
      <c r="AV42"/>
      <c r="AW42" s="31"/>
      <c r="AX42" s="31"/>
      <c r="AY42" s="31"/>
      <c r="AZ42" s="31"/>
      <c r="BA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row>
    <row r="43" spans="1:79" s="29" customFormat="1" ht="17" thickBot="1">
      <c r="A43" s="40" t="str">
        <f t="shared" si="14"/>
        <v>14CO_UR_DC_ICE_SAMPLE_10</v>
      </c>
      <c r="B43" s="29">
        <f t="shared" si="15"/>
        <v>0.98333391007008919</v>
      </c>
      <c r="C43" s="29">
        <f t="shared" si="16"/>
        <v>197592.90602061443</v>
      </c>
      <c r="D43" s="29">
        <f t="shared" si="17"/>
        <v>2667.3291883644761</v>
      </c>
      <c r="E43" s="29">
        <f t="shared" si="18"/>
        <v>11658391.722142983</v>
      </c>
      <c r="F43" s="29">
        <f t="shared" si="19"/>
        <v>61971.343349374365</v>
      </c>
      <c r="G43" s="29">
        <f t="shared" si="20"/>
        <v>11855984.628163598</v>
      </c>
      <c r="H43" s="29">
        <f t="shared" si="21"/>
        <v>62028.719489645664</v>
      </c>
      <c r="I43" s="29">
        <f t="shared" si="22"/>
        <v>60.002076324170716</v>
      </c>
      <c r="J43" s="29">
        <f t="shared" si="23"/>
        <v>4793.6751802983918</v>
      </c>
      <c r="K43" s="29">
        <f t="shared" si="24"/>
        <v>25.499717462309661</v>
      </c>
      <c r="L43" s="31">
        <f t="shared" si="35"/>
        <v>167.76599615109748</v>
      </c>
      <c r="M43" s="31">
        <f t="shared" si="25"/>
        <v>2.7511202572357316</v>
      </c>
      <c r="N43" s="31">
        <f t="shared" si="26"/>
        <v>4713.7833586487577</v>
      </c>
      <c r="O43" s="31">
        <f t="shared" si="27"/>
        <v>25.463118796722394</v>
      </c>
      <c r="P43" s="31">
        <f t="shared" si="36"/>
        <v>1.4216311626390692</v>
      </c>
      <c r="Q43" s="31">
        <f t="shared" si="28"/>
        <v>0.47766273099426149</v>
      </c>
      <c r="R43" s="31">
        <f t="shared" si="29"/>
        <v>166.34436498845841</v>
      </c>
      <c r="S43" s="31">
        <f t="shared" si="30"/>
        <v>2.7922794191043443</v>
      </c>
      <c r="T43" s="31">
        <f t="shared" si="31"/>
        <v>1.8545319491828511</v>
      </c>
      <c r="U43" s="31">
        <f t="shared" si="32"/>
        <v>1.7925856828112478E-3</v>
      </c>
      <c r="V43" s="31">
        <f t="shared" si="33"/>
        <v>308.49093943762938</v>
      </c>
      <c r="W43" s="31">
        <f t="shared" si="34"/>
        <v>5.1869495367513743</v>
      </c>
      <c r="X43" s="31">
        <v>0.99675390415810394</v>
      </c>
      <c r="Y43" s="31">
        <v>4.31324642199582E-4</v>
      </c>
      <c r="Z43" s="31">
        <f t="shared" ref="Z43:Z63" si="37">V43/X43</f>
        <v>309.49559179122804</v>
      </c>
      <c r="AA43" s="31">
        <f t="shared" ref="AA43:AA63" si="38">Z43*SQRT((W43/V43)^2+(Y43/X43)^2)</f>
        <v>5.2055648260420897</v>
      </c>
      <c r="AB43" s="31">
        <f>Z43-Z$67</f>
        <v>301.17211381832408</v>
      </c>
      <c r="AC43" s="31">
        <f>SQRT(AA43^2+Z$68^2)</f>
        <v>5.2545911254910962</v>
      </c>
      <c r="AD43" s="31">
        <v>37.5</v>
      </c>
      <c r="AE43" s="31">
        <v>2.5</v>
      </c>
      <c r="AF43" s="31">
        <v>41.2</v>
      </c>
      <c r="AG43">
        <v>5</v>
      </c>
      <c r="AH43">
        <f>I11-AD43-AF43</f>
        <v>69.461935727665022</v>
      </c>
      <c r="AI43">
        <f>SQRT(J11^2+AE43^2+AG43^2)</f>
        <v>5.9371710435189584</v>
      </c>
      <c r="AJ43">
        <v>50</v>
      </c>
      <c r="AK43">
        <v>25</v>
      </c>
      <c r="AL43">
        <f>AJ43/100*EXP(-L$69*76)*1.1698*10^-12*AH43/10^9/1000/22.4*6.02*10^23</f>
        <v>1.0818928739643203</v>
      </c>
      <c r="AM43">
        <f>AL43*SQRT((AI43/AH43)^2+(AK43/AJ43)^2)</f>
        <v>0.54879356943587476</v>
      </c>
      <c r="AN43">
        <f>AB43-AL43</f>
        <v>300.09022094435977</v>
      </c>
      <c r="AO43">
        <f>SQRT(AC43^2+AM43^2)</f>
        <v>5.2831716116310243</v>
      </c>
      <c r="AP43">
        <v>13.6</v>
      </c>
      <c r="AQ43">
        <v>1</v>
      </c>
      <c r="AR43" s="63">
        <f>'14CO vs depth'!G16</f>
        <v>7077.6650668298598</v>
      </c>
      <c r="AS43" s="63">
        <f>AP43*EXP(-L$69*AR43)</f>
        <v>5.7770825431664043</v>
      </c>
      <c r="AT43">
        <f>AQ43*EXP(-L$69*AR43)</f>
        <v>0.42478548111517678</v>
      </c>
      <c r="AU43" s="63">
        <f>AN43-AS43</f>
        <v>294.31313840119338</v>
      </c>
      <c r="AV43">
        <f>SQRT(AO43^2+AT43^2)</f>
        <v>5.3002212201860228</v>
      </c>
      <c r="AW43" s="31">
        <f>'Air Content'!H13</f>
        <v>8.7959230006309203E-2</v>
      </c>
      <c r="AX43" s="31">
        <f>'Air Content'!I13</f>
        <v>2.8227443884274898E-4</v>
      </c>
      <c r="AY43" s="31">
        <f>AU43*AW43</f>
        <v>25.887557034509282</v>
      </c>
      <c r="AZ43" s="31">
        <f>AY43*SQRT((AX43/AW43)^2+(AV43/AU43)^2)</f>
        <v>0.47354766354073102</v>
      </c>
      <c r="BA43" s="31">
        <f>AZ43/AY43*100</f>
        <v>1.8292481708856136</v>
      </c>
      <c r="BC43"/>
      <c r="BD43"/>
      <c r="BE43"/>
      <c r="BF43" s="31"/>
      <c r="BG43" s="31"/>
      <c r="BH43" s="31"/>
      <c r="BI43" s="31"/>
      <c r="BJ43" s="31"/>
      <c r="BK43" s="31"/>
      <c r="BL43" s="31"/>
      <c r="BM43" s="31"/>
      <c r="BN43" s="31"/>
      <c r="BO43" s="31"/>
      <c r="BP43" s="31"/>
      <c r="BQ43" s="31"/>
      <c r="BR43" s="31"/>
      <c r="BS43" s="31"/>
      <c r="BT43" s="31"/>
      <c r="BU43" s="31"/>
      <c r="BV43" s="31"/>
      <c r="BW43" s="31"/>
    </row>
    <row r="44" spans="1:79" s="31" customFormat="1" ht="17" thickBot="1">
      <c r="A44" s="40" t="str">
        <f t="shared" si="14"/>
        <v>14CO_UR_DC_ICE_SAMPLE_6</v>
      </c>
      <c r="B44" s="29">
        <f t="shared" si="15"/>
        <v>0.98461377081538637</v>
      </c>
      <c r="C44" s="29">
        <f t="shared" si="16"/>
        <v>182491.08514219604</v>
      </c>
      <c r="D44" s="29">
        <f t="shared" si="17"/>
        <v>2731.8849530932966</v>
      </c>
      <c r="E44" s="29">
        <f t="shared" si="18"/>
        <v>11678185.2997311</v>
      </c>
      <c r="F44" s="29">
        <f t="shared" si="19"/>
        <v>62200.272326418388</v>
      </c>
      <c r="G44" s="29">
        <f t="shared" si="20"/>
        <v>11860676.384873295</v>
      </c>
      <c r="H44" s="29">
        <f t="shared" si="21"/>
        <v>62260.23669146742</v>
      </c>
      <c r="I44" s="29">
        <f t="shared" si="22"/>
        <v>64.993182410151832</v>
      </c>
      <c r="J44" s="29">
        <f t="shared" si="23"/>
        <v>4730.128245490776</v>
      </c>
      <c r="K44" s="29">
        <f t="shared" si="24"/>
        <v>25.243417755218918</v>
      </c>
      <c r="L44" s="31">
        <f t="shared" si="35"/>
        <v>194.48912321004721</v>
      </c>
      <c r="M44" s="31">
        <f t="shared" si="25"/>
        <v>4.0815254972900012</v>
      </c>
      <c r="N44" s="31">
        <f t="shared" si="26"/>
        <v>4657.3494082330408</v>
      </c>
      <c r="O44" s="31">
        <f t="shared" si="27"/>
        <v>25.207355945299994</v>
      </c>
      <c r="P44" s="31">
        <f t="shared" si="36"/>
        <v>1.4046112326937079</v>
      </c>
      <c r="Q44" s="31">
        <f t="shared" si="28"/>
        <v>0.47194433668743879</v>
      </c>
      <c r="R44" s="31">
        <f t="shared" si="29"/>
        <v>193.08451197735351</v>
      </c>
      <c r="S44" s="31">
        <f t="shared" si="30"/>
        <v>4.1087202194795083</v>
      </c>
      <c r="T44" s="31">
        <f t="shared" si="31"/>
        <v>1.8357511980230403</v>
      </c>
      <c r="U44" s="31">
        <f t="shared" si="32"/>
        <v>1.7756071306085745E-3</v>
      </c>
      <c r="V44" s="31">
        <f t="shared" si="33"/>
        <v>354.45512418212081</v>
      </c>
      <c r="W44" s="31">
        <f t="shared" si="34"/>
        <v>7.5503758529653506</v>
      </c>
      <c r="X44" s="31">
        <v>0.99625684320504593</v>
      </c>
      <c r="Y44" s="31">
        <v>4.944864681687422E-4</v>
      </c>
      <c r="Z44" s="31">
        <f t="shared" si="37"/>
        <v>355.78689029809573</v>
      </c>
      <c r="AA44" s="31">
        <f t="shared" si="38"/>
        <v>7.5808014023416925</v>
      </c>
      <c r="AB44" s="31">
        <f t="shared" ref="AB44:AB63" si="39">Z44-Z$67</f>
        <v>347.46341232519177</v>
      </c>
      <c r="AC44" s="31">
        <f t="shared" ref="AC44:AC63" si="40">SQRT(AA44^2+Z$68^2)</f>
        <v>7.6145500615406645</v>
      </c>
      <c r="AD44" s="31">
        <v>37.5</v>
      </c>
      <c r="AE44" s="31">
        <v>2.5</v>
      </c>
      <c r="AF44" s="31">
        <v>41.2</v>
      </c>
      <c r="AG44">
        <v>5</v>
      </c>
      <c r="AH44">
        <f t="shared" ref="AH44:AH63" si="41">I12-AD44-AF44</f>
        <v>54.903837686612334</v>
      </c>
      <c r="AI44">
        <f t="shared" ref="AI44:AI63" si="42">SQRT(J12^2+AE44^2+AG44^2)</f>
        <v>5.9371710435189584</v>
      </c>
      <c r="AJ44">
        <v>50</v>
      </c>
      <c r="AK44">
        <v>25</v>
      </c>
      <c r="AL44">
        <f t="shared" ref="AL44:AL63" si="43">AJ44/100*EXP(-L$69*76)*1.1698*10^-12*AH44/10^9/1000/22.4*6.02*10^23</f>
        <v>0.85514562938939176</v>
      </c>
      <c r="AM44">
        <f t="shared" ref="AM44:AM63" si="44">AL44*SQRT((AI44/AH44)^2+(AK44/AJ44)^2)</f>
        <v>0.43745839349179122</v>
      </c>
      <c r="AN44">
        <f t="shared" ref="AN44:AN63" si="45">AB44-AL44</f>
        <v>346.6082666958024</v>
      </c>
      <c r="AO44">
        <f t="shared" ref="AO44:AO63" si="46">SQRT(AC44^2+AM44^2)</f>
        <v>7.6271057738663464</v>
      </c>
      <c r="AP44">
        <v>13.6</v>
      </c>
      <c r="AQ44">
        <v>1</v>
      </c>
      <c r="AR44" s="63">
        <f>'14CO vs depth'!G12</f>
        <v>4194.90906084158</v>
      </c>
      <c r="AS44" s="63">
        <f t="shared" ref="AS44:AS63" si="47">AP44*EXP(-L$69*AR44)</f>
        <v>8.1875936042004707</v>
      </c>
      <c r="AT44">
        <f t="shared" ref="AT44:AT63" si="48">AQ44*EXP(-L$69*AR44)</f>
        <v>0.60202894148532871</v>
      </c>
      <c r="AU44" s="63">
        <f t="shared" ref="AU44:AU63" si="49">AN44-AS44</f>
        <v>338.42067309160194</v>
      </c>
      <c r="AV44">
        <f t="shared" ref="AV44:AV63" si="50">SQRT(AO44^2+AT44^2)</f>
        <v>7.6508288003412614</v>
      </c>
      <c r="AW44" s="31">
        <f>'Air Content'!H9</f>
        <v>8.7660152270443353E-2</v>
      </c>
      <c r="AX44" s="31">
        <f>'Air Content'!I9</f>
        <v>7.9321554684705213E-4</v>
      </c>
      <c r="AY44" s="31">
        <f t="shared" ref="AY44:AY63" si="51">AU44*AW44</f>
        <v>29.666007734675759</v>
      </c>
      <c r="AZ44" s="31">
        <f t="shared" ref="AZ44:AZ63" si="52">AY44*SQRT((AX44/AW44)^2+(AV44/AU44)^2)</f>
        <v>0.7224004093546349</v>
      </c>
      <c r="BA44" s="31">
        <f t="shared" ref="BA44:BA63" si="53">AZ44/AY44*100</f>
        <v>2.4351116463515297</v>
      </c>
      <c r="BC44"/>
      <c r="BD44"/>
      <c r="BE44"/>
    </row>
    <row r="45" spans="1:79" s="31" customFormat="1" ht="17" thickBot="1">
      <c r="A45" s="40" t="str">
        <f t="shared" si="14"/>
        <v>14CO_UR_DC_ICE_SAMPLE_13</v>
      </c>
      <c r="B45" s="29">
        <f t="shared" si="15"/>
        <v>0.98667242061059102</v>
      </c>
      <c r="C45" s="29">
        <f t="shared" si="16"/>
        <v>157081.62326340817</v>
      </c>
      <c r="D45" s="29">
        <f t="shared" si="17"/>
        <v>3233.070159985346</v>
      </c>
      <c r="E45" s="29">
        <f t="shared" si="18"/>
        <v>11629126.409999998</v>
      </c>
      <c r="F45" s="29">
        <f t="shared" si="19"/>
        <v>62975.227480399546</v>
      </c>
      <c r="G45" s="29">
        <f t="shared" si="20"/>
        <v>11786208.033263406</v>
      </c>
      <c r="H45" s="29">
        <f t="shared" si="21"/>
        <v>63058.163776528236</v>
      </c>
      <c r="I45" s="29">
        <f t="shared" si="22"/>
        <v>75.032379907987476</v>
      </c>
      <c r="J45" s="29">
        <f t="shared" si="23"/>
        <v>4280.7833532780342</v>
      </c>
      <c r="K45" s="29">
        <f t="shared" si="24"/>
        <v>23.269377092364874</v>
      </c>
      <c r="L45" s="31">
        <f t="shared" si="35"/>
        <v>197.98482247765381</v>
      </c>
      <c r="M45" s="31">
        <f t="shared" si="25"/>
        <v>3.259618700764201</v>
      </c>
      <c r="N45" s="31">
        <f t="shared" si="26"/>
        <v>4223.7308732883612</v>
      </c>
      <c r="O45" s="31">
        <f t="shared" si="27"/>
        <v>23.230088129426555</v>
      </c>
      <c r="P45" s="31">
        <f t="shared" si="36"/>
        <v>1.2738361047183815</v>
      </c>
      <c r="Q45" s="31">
        <f t="shared" si="28"/>
        <v>0.42800617298901888</v>
      </c>
      <c r="R45" s="31">
        <f t="shared" si="29"/>
        <v>196.71098637293542</v>
      </c>
      <c r="S45" s="31">
        <f t="shared" si="30"/>
        <v>3.2875984180687889</v>
      </c>
      <c r="T45" s="31">
        <f t="shared" si="31"/>
        <v>1.7032203826006052</v>
      </c>
      <c r="U45" s="31">
        <f t="shared" si="32"/>
        <v>1.645511690672717E-3</v>
      </c>
      <c r="V45" s="31">
        <f t="shared" si="33"/>
        <v>335.04216147185349</v>
      </c>
      <c r="W45" s="31">
        <f t="shared" si="34"/>
        <v>5.6088526033484438</v>
      </c>
      <c r="X45" s="31">
        <v>0.99593668953374548</v>
      </c>
      <c r="Y45" s="31">
        <v>5.3770843505740462E-4</v>
      </c>
      <c r="Z45" s="31">
        <f t="shared" si="37"/>
        <v>336.4090960728696</v>
      </c>
      <c r="AA45" s="31">
        <f t="shared" si="38"/>
        <v>5.6346641592595024</v>
      </c>
      <c r="AB45" s="31">
        <f t="shared" si="39"/>
        <v>328.08561809996564</v>
      </c>
      <c r="AC45" s="31">
        <f t="shared" si="40"/>
        <v>5.6799879335793282</v>
      </c>
      <c r="AD45" s="31">
        <v>37.5</v>
      </c>
      <c r="AE45" s="31">
        <v>2.5</v>
      </c>
      <c r="AF45" s="31">
        <v>36.200000000000003</v>
      </c>
      <c r="AG45">
        <v>5</v>
      </c>
      <c r="AH45">
        <f t="shared" si="41"/>
        <v>23.472946796325033</v>
      </c>
      <c r="AI45">
        <f>SQRT(J13^2+AE45^2+AG45^2)</f>
        <v>5.9371710435189584</v>
      </c>
      <c r="AJ45">
        <v>50</v>
      </c>
      <c r="AK45">
        <v>25</v>
      </c>
      <c r="AL45">
        <f t="shared" si="43"/>
        <v>0.3655989946703051</v>
      </c>
      <c r="AM45">
        <f t="shared" si="44"/>
        <v>0.204858464302695</v>
      </c>
      <c r="AN45">
        <f t="shared" si="45"/>
        <v>327.72001910529536</v>
      </c>
      <c r="AO45">
        <f t="shared" si="46"/>
        <v>5.6836810181433677</v>
      </c>
      <c r="AP45">
        <v>13.6</v>
      </c>
      <c r="AQ45">
        <v>1</v>
      </c>
      <c r="AR45" s="63">
        <f>'14CO vs depth'!G20</f>
        <v>1967.5049722419999</v>
      </c>
      <c r="AS45" s="63">
        <f t="shared" si="47"/>
        <v>10.719501484607836</v>
      </c>
      <c r="AT45">
        <f t="shared" si="48"/>
        <v>0.78819863857410566</v>
      </c>
      <c r="AU45" s="63">
        <f t="shared" si="49"/>
        <v>317.0005176206875</v>
      </c>
      <c r="AV45">
        <f t="shared" si="50"/>
        <v>5.7380734580391444</v>
      </c>
      <c r="AW45" s="31">
        <f>'Air Content'!H16</f>
        <v>8.5450371707273265E-2</v>
      </c>
      <c r="AX45" s="31">
        <f>'Air Content'!I16</f>
        <v>3.9820107051383006E-4</v>
      </c>
      <c r="AY45" s="31">
        <f t="shared" si="51"/>
        <v>27.087812062085774</v>
      </c>
      <c r="AZ45" s="31">
        <f t="shared" si="52"/>
        <v>0.50630840555491374</v>
      </c>
      <c r="BA45" s="31">
        <f t="shared" si="53"/>
        <v>1.8691373241753355</v>
      </c>
      <c r="BC45"/>
      <c r="BD45"/>
      <c r="BE45"/>
    </row>
    <row r="46" spans="1:79" s="31" customFormat="1" ht="17" thickBot="1">
      <c r="A46" s="40" t="str">
        <f t="shared" si="14"/>
        <v>14CO_UR_DC_FIRN_EXTRACTION_3</v>
      </c>
      <c r="B46" s="29">
        <f t="shared" si="15"/>
        <v>0.9890964467747132</v>
      </c>
      <c r="C46" s="29">
        <f t="shared" si="16"/>
        <v>128393.07088750089</v>
      </c>
      <c r="D46" s="29">
        <f t="shared" si="17"/>
        <v>2786.7475772539069</v>
      </c>
      <c r="E46" s="29">
        <f t="shared" si="18"/>
        <v>11646949.171652304</v>
      </c>
      <c r="F46" s="29">
        <f t="shared" si="19"/>
        <v>62146.684818042886</v>
      </c>
      <c r="G46" s="29">
        <f t="shared" si="20"/>
        <v>11775342.242539804</v>
      </c>
      <c r="H46" s="29">
        <f t="shared" si="21"/>
        <v>62209.134344825055</v>
      </c>
      <c r="I46" s="29">
        <f t="shared" si="22"/>
        <v>91.713222225656253</v>
      </c>
      <c r="J46" s="29">
        <f t="shared" si="23"/>
        <v>4650.8511846069523</v>
      </c>
      <c r="K46" s="29">
        <f t="shared" si="24"/>
        <v>24.973720916365632</v>
      </c>
      <c r="L46" s="31">
        <f t="shared" si="35"/>
        <v>125.61631095789483</v>
      </c>
      <c r="M46" s="31">
        <f t="shared" si="25"/>
        <v>2.9183351192007523</v>
      </c>
      <c r="N46" s="31">
        <f t="shared" si="26"/>
        <v>4600.1403811727023</v>
      </c>
      <c r="O46" s="31">
        <f t="shared" si="27"/>
        <v>24.940768588557745</v>
      </c>
      <c r="P46" s="31">
        <f t="shared" si="36"/>
        <v>1.3873575471792863</v>
      </c>
      <c r="Q46" s="31">
        <f t="shared" si="28"/>
        <v>0.46614736955634289</v>
      </c>
      <c r="R46" s="31">
        <f t="shared" si="29"/>
        <v>124.22895341071553</v>
      </c>
      <c r="S46" s="31">
        <f t="shared" si="30"/>
        <v>2.9553296327321537</v>
      </c>
      <c r="T46" s="31">
        <f t="shared" si="31"/>
        <v>1.8170968181495997</v>
      </c>
      <c r="U46" s="31">
        <f t="shared" si="32"/>
        <v>1.7558201131105077E-3</v>
      </c>
      <c r="V46" s="31">
        <f t="shared" si="33"/>
        <v>225.73603596466606</v>
      </c>
      <c r="W46" s="31">
        <f t="shared" si="34"/>
        <v>5.3745481239265276</v>
      </c>
      <c r="X46" s="31">
        <v>0.996747918308586</v>
      </c>
      <c r="Y46" s="31">
        <v>4.307610002831086E-4</v>
      </c>
      <c r="Z46" s="31">
        <f t="shared" si="37"/>
        <v>226.47254317593649</v>
      </c>
      <c r="AA46" s="31">
        <f t="shared" si="38"/>
        <v>5.3929718204331483</v>
      </c>
      <c r="AB46" s="31">
        <f t="shared" si="39"/>
        <v>218.14906520303251</v>
      </c>
      <c r="AC46" s="31">
        <f t="shared" si="40"/>
        <v>5.4403095310790173</v>
      </c>
      <c r="AD46" s="31">
        <v>37.5</v>
      </c>
      <c r="AE46" s="31">
        <v>2.5</v>
      </c>
      <c r="AF46" s="31">
        <v>21.7</v>
      </c>
      <c r="AG46">
        <v>5</v>
      </c>
      <c r="AH46">
        <f>I14-AF46</f>
        <v>70.44643956618566</v>
      </c>
      <c r="AI46">
        <f>SQRT(J14^2+AG46^2)</f>
        <v>5.3851648071345037</v>
      </c>
      <c r="AJ46">
        <v>50</v>
      </c>
      <c r="AK46">
        <v>25</v>
      </c>
      <c r="AL46">
        <f t="shared" si="43"/>
        <v>1.0972268504239167</v>
      </c>
      <c r="AM46">
        <f t="shared" si="44"/>
        <v>0.55498813545103287</v>
      </c>
      <c r="AN46">
        <f t="shared" si="45"/>
        <v>217.0518383526086</v>
      </c>
      <c r="AO46">
        <f t="shared" si="46"/>
        <v>5.4685445618044124</v>
      </c>
      <c r="AP46">
        <v>0</v>
      </c>
      <c r="AQ46">
        <v>0</v>
      </c>
      <c r="AR46"/>
      <c r="AS46" s="63">
        <f t="shared" si="47"/>
        <v>0</v>
      </c>
      <c r="AT46">
        <f t="shared" si="48"/>
        <v>0</v>
      </c>
      <c r="AU46" s="63">
        <f t="shared" si="49"/>
        <v>217.0518383526086</v>
      </c>
      <c r="AV46">
        <f t="shared" si="50"/>
        <v>5.4685445618044124</v>
      </c>
      <c r="AW46">
        <f>'Air Content'!X25</f>
        <v>8.6647942422021174E-2</v>
      </c>
      <c r="AX46">
        <f>'Air Content'!Y25</f>
        <v>1.2229534061038165E-3</v>
      </c>
      <c r="AY46" s="31">
        <f t="shared" si="51"/>
        <v>18.807095192170678</v>
      </c>
      <c r="AZ46" s="31">
        <f t="shared" si="52"/>
        <v>0.54312360102096202</v>
      </c>
      <c r="BA46" s="31">
        <f t="shared" si="53"/>
        <v>2.8878654330790132</v>
      </c>
      <c r="BC46"/>
      <c r="BD46"/>
      <c r="BE46"/>
    </row>
    <row r="47" spans="1:79" s="31" customFormat="1" ht="17" thickBot="1">
      <c r="A47" s="40" t="str">
        <f t="shared" si="14"/>
        <v>14CO_UR_DC_WATER_BLANK_4B</v>
      </c>
      <c r="B47" s="29">
        <f t="shared" si="15"/>
        <v>0.99526248916191307</v>
      </c>
      <c r="C47" s="29">
        <f t="shared" si="16"/>
        <v>55228.564724132142</v>
      </c>
      <c r="D47" s="29">
        <f t="shared" si="17"/>
        <v>2592.7638821357441</v>
      </c>
      <c r="E47" s="29">
        <f t="shared" si="18"/>
        <v>11602489.298446853</v>
      </c>
      <c r="F47" s="29">
        <f t="shared" si="19"/>
        <v>61555.019403205093</v>
      </c>
      <c r="G47" s="29">
        <f t="shared" si="20"/>
        <v>11657717.863170985</v>
      </c>
      <c r="H47" s="29">
        <f t="shared" si="21"/>
        <v>61609.600211959361</v>
      </c>
      <c r="I47" s="29">
        <f t="shared" si="22"/>
        <v>211.08131129971483</v>
      </c>
      <c r="J47" s="29">
        <f t="shared" si="23"/>
        <v>4796.3446076138853</v>
      </c>
      <c r="K47" s="29">
        <f t="shared" si="24"/>
        <v>25.764109184455535</v>
      </c>
      <c r="L47" s="31">
        <f t="shared" si="35"/>
        <v>6.0200331731546006</v>
      </c>
      <c r="M47" s="31">
        <f t="shared" si="25"/>
        <v>0.22771606098575201</v>
      </c>
      <c r="N47" s="31">
        <f t="shared" si="26"/>
        <v>4773.621873052115</v>
      </c>
      <c r="O47" s="31">
        <f t="shared" si="27"/>
        <v>25.738111522384319</v>
      </c>
      <c r="P47" s="31">
        <f t="shared" si="36"/>
        <v>1.4396778759327036</v>
      </c>
      <c r="Q47" s="31">
        <f t="shared" si="28"/>
        <v>0.48372612516821806</v>
      </c>
      <c r="R47" s="31">
        <f t="shared" si="29"/>
        <v>4.5803552972218968</v>
      </c>
      <c r="S47" s="31">
        <f t="shared" si="30"/>
        <v>0.53464527361712022</v>
      </c>
      <c r="T47" s="31">
        <f t="shared" si="31"/>
        <v>1.8748700625193508</v>
      </c>
      <c r="U47" s="31">
        <f t="shared" si="32"/>
        <v>1.8122444494334492E-3</v>
      </c>
      <c r="V47" s="31">
        <f t="shared" si="33"/>
        <v>8.5875710224632567</v>
      </c>
      <c r="W47" s="31">
        <f t="shared" si="34"/>
        <v>1.0024247858321358</v>
      </c>
      <c r="X47" s="31">
        <v>0.99676842277855293</v>
      </c>
      <c r="Y47" s="31">
        <v>4.2836099512782999E-4</v>
      </c>
      <c r="Z47" s="31">
        <f t="shared" si="37"/>
        <v>8.6154123929055437</v>
      </c>
      <c r="AA47" s="31">
        <f t="shared" si="38"/>
        <v>1.0056815167375606</v>
      </c>
      <c r="AH47"/>
      <c r="AI47"/>
      <c r="AJ47"/>
      <c r="AK47"/>
      <c r="AL47"/>
      <c r="AM47"/>
      <c r="AN47"/>
      <c r="AO47"/>
      <c r="AP47"/>
      <c r="AQ47"/>
      <c r="AR47"/>
      <c r="AS47" s="63"/>
      <c r="AT47"/>
      <c r="AU47" s="63"/>
      <c r="AV47"/>
      <c r="AY47"/>
      <c r="AZ47"/>
      <c r="BC47"/>
      <c r="BD47"/>
      <c r="BE47"/>
    </row>
    <row r="48" spans="1:79" s="31" customFormat="1" ht="17" thickBot="1">
      <c r="A48" s="40" t="str">
        <f t="shared" si="14"/>
        <v>14CO_UR_DC_ICE_SAMPLE_8</v>
      </c>
      <c r="B48" s="29">
        <f t="shared" si="15"/>
        <v>0.98419583690984702</v>
      </c>
      <c r="C48" s="29">
        <f t="shared" si="16"/>
        <v>184719.63219890304</v>
      </c>
      <c r="D48" s="29">
        <f t="shared" si="17"/>
        <v>2616.9611934916416</v>
      </c>
      <c r="E48" s="29">
        <f t="shared" si="18"/>
        <v>11503316.687420992</v>
      </c>
      <c r="F48" s="29">
        <f t="shared" si="19"/>
        <v>61126.026945423007</v>
      </c>
      <c r="G48" s="29">
        <f t="shared" si="20"/>
        <v>11688036.319619896</v>
      </c>
      <c r="H48" s="29">
        <f t="shared" si="21"/>
        <v>61182.020692527149</v>
      </c>
      <c r="I48" s="29">
        <f t="shared" si="22"/>
        <v>63.27446725876117</v>
      </c>
      <c r="J48" s="29">
        <f t="shared" si="23"/>
        <v>4804.1247913399839</v>
      </c>
      <c r="K48" s="29">
        <f t="shared" si="24"/>
        <v>25.568932208035509</v>
      </c>
      <c r="L48" s="31">
        <f t="shared" si="35"/>
        <v>185.268335666577</v>
      </c>
      <c r="M48" s="31">
        <f t="shared" si="25"/>
        <v>3.3064642545283864</v>
      </c>
      <c r="N48" s="31">
        <f t="shared" si="26"/>
        <v>4728.1996196321998</v>
      </c>
      <c r="O48" s="31">
        <f t="shared" si="27"/>
        <v>25.533178239386118</v>
      </c>
      <c r="P48" s="31">
        <f t="shared" si="36"/>
        <v>1.4259789665798663</v>
      </c>
      <c r="Q48" s="31">
        <f t="shared" si="28"/>
        <v>0.47912353890153775</v>
      </c>
      <c r="R48" s="31">
        <f t="shared" si="29"/>
        <v>183.84235669999714</v>
      </c>
      <c r="S48" s="31">
        <f t="shared" si="30"/>
        <v>3.3409976402271662</v>
      </c>
      <c r="T48" s="31">
        <f t="shared" si="31"/>
        <v>1.8593913433326192</v>
      </c>
      <c r="U48" s="31">
        <f t="shared" si="32"/>
        <v>1.798773162033853E-3</v>
      </c>
      <c r="V48" s="31">
        <f t="shared" si="33"/>
        <v>341.83488658584224</v>
      </c>
      <c r="W48" s="31">
        <f t="shared" si="34"/>
        <v>6.221017572462574</v>
      </c>
      <c r="X48" s="31">
        <v>0.99690650019239058</v>
      </c>
      <c r="Y48" s="31">
        <v>4.1023445412624593E-4</v>
      </c>
      <c r="Z48" s="31">
        <f t="shared" si="37"/>
        <v>342.89563416415916</v>
      </c>
      <c r="AA48" s="31">
        <f t="shared" si="38"/>
        <v>6.2419171033801719</v>
      </c>
      <c r="AB48" s="31">
        <f t="shared" si="39"/>
        <v>334.5721561912552</v>
      </c>
      <c r="AC48" s="31">
        <f t="shared" si="40"/>
        <v>6.2828617574663443</v>
      </c>
      <c r="AD48" s="31">
        <v>37.5</v>
      </c>
      <c r="AE48" s="31">
        <v>2.5</v>
      </c>
      <c r="AF48" s="31">
        <v>41.2</v>
      </c>
      <c r="AG48">
        <v>5</v>
      </c>
      <c r="AH48">
        <f t="shared" si="41"/>
        <v>62.474607014495817</v>
      </c>
      <c r="AI48">
        <f>SQRT(J16^2+AE48^2+AG48^2)</f>
        <v>5.9371710435189584</v>
      </c>
      <c r="AJ48">
        <v>50</v>
      </c>
      <c r="AK48">
        <v>25</v>
      </c>
      <c r="AL48">
        <f t="shared" si="43"/>
        <v>0.9730628930023405</v>
      </c>
      <c r="AM48">
        <f t="shared" si="44"/>
        <v>0.49524153966018963</v>
      </c>
      <c r="AN48">
        <f t="shared" si="45"/>
        <v>333.59909329825285</v>
      </c>
      <c r="AO48">
        <f t="shared" si="46"/>
        <v>6.3023500415351474</v>
      </c>
      <c r="AP48">
        <v>13.6</v>
      </c>
      <c r="AQ48">
        <v>1</v>
      </c>
      <c r="AR48" s="63">
        <f>'14CO vs depth'!G14</f>
        <v>5569.2136676859</v>
      </c>
      <c r="AS48" s="63">
        <f t="shared" si="47"/>
        <v>6.9335583635199054</v>
      </c>
      <c r="AT48">
        <f t="shared" si="48"/>
        <v>0.50982046790587543</v>
      </c>
      <c r="AU48" s="63">
        <f t="shared" si="49"/>
        <v>326.66553493473293</v>
      </c>
      <c r="AV48">
        <f t="shared" si="50"/>
        <v>6.322937051365753</v>
      </c>
      <c r="AW48" s="31">
        <f>'Air Content'!H11</f>
        <v>8.8436208310436373E-2</v>
      </c>
      <c r="AX48" s="31">
        <f>'Air Content'!I11</f>
        <v>2.8666959444078412E-4</v>
      </c>
      <c r="AY48" s="31">
        <f t="shared" si="51"/>
        <v>28.889061295328172</v>
      </c>
      <c r="AZ48" s="31">
        <f t="shared" si="52"/>
        <v>0.56696370779270477</v>
      </c>
      <c r="BA48" s="31">
        <f t="shared" si="53"/>
        <v>1.9625549684592625</v>
      </c>
      <c r="BC48"/>
      <c r="BD48"/>
      <c r="BE48"/>
    </row>
    <row r="49" spans="1:57" s="31" customFormat="1" ht="17" thickBot="1">
      <c r="A49" s="40" t="str">
        <f t="shared" si="14"/>
        <v>14CO_UR_DC_FIRN_SAMPLE_1</v>
      </c>
      <c r="B49" s="29">
        <f t="shared" si="15"/>
        <v>0.99032510285292807</v>
      </c>
      <c r="C49" s="29">
        <f t="shared" si="16"/>
        <v>114484.94908459148</v>
      </c>
      <c r="D49" s="29">
        <f t="shared" si="17"/>
        <v>2735.7059551712919</v>
      </c>
      <c r="E49" s="29">
        <f t="shared" si="18"/>
        <v>11718710.52</v>
      </c>
      <c r="F49" s="29">
        <f t="shared" si="19"/>
        <v>62400.163546067881</v>
      </c>
      <c r="G49" s="29">
        <f t="shared" si="20"/>
        <v>11833195.469084591</v>
      </c>
      <c r="H49" s="29">
        <f t="shared" si="21"/>
        <v>62460.103247186351</v>
      </c>
      <c r="I49" s="29">
        <f t="shared" si="22"/>
        <v>103.36027192833174</v>
      </c>
      <c r="J49" s="29">
        <f t="shared" si="23"/>
        <v>4708.1086388505419</v>
      </c>
      <c r="K49" s="29">
        <f t="shared" si="24"/>
        <v>25.260183497535266</v>
      </c>
      <c r="L49" s="31">
        <f t="shared" si="35"/>
        <v>241.1005924273847</v>
      </c>
      <c r="M49" s="31">
        <f t="shared" si="25"/>
        <v>4.3436668995285581</v>
      </c>
      <c r="N49" s="31">
        <f t="shared" si="26"/>
        <v>4662.5581720124219</v>
      </c>
      <c r="O49" s="31">
        <f t="shared" si="27"/>
        <v>25.22890117790244</v>
      </c>
      <c r="P49" s="31">
        <f t="shared" si="36"/>
        <v>1.4061821451315921</v>
      </c>
      <c r="Q49" s="31">
        <f t="shared" si="28"/>
        <v>0.4724721253467567</v>
      </c>
      <c r="R49" s="31">
        <f t="shared" si="29"/>
        <v>239.6944102822531</v>
      </c>
      <c r="S49" s="31">
        <f t="shared" si="30"/>
        <v>4.369287361033801</v>
      </c>
      <c r="T49" s="31">
        <f t="shared" si="31"/>
        <v>1.8374686823980273</v>
      </c>
      <c r="U49" s="31">
        <f t="shared" si="32"/>
        <v>1.7763861418408173E-3</v>
      </c>
      <c r="V49" s="31">
        <f t="shared" si="33"/>
        <v>440.43097223950377</v>
      </c>
      <c r="W49" s="31">
        <f t="shared" si="34"/>
        <v>8.039711699645224</v>
      </c>
      <c r="X49" s="31">
        <v>0.99786624779770416</v>
      </c>
      <c r="Y49" s="31">
        <v>2.8467589450731356E-4</v>
      </c>
      <c r="Z49" s="31">
        <f t="shared" si="37"/>
        <v>441.37275232180377</v>
      </c>
      <c r="AA49" s="31">
        <f t="shared" si="38"/>
        <v>8.0578870166555276</v>
      </c>
      <c r="AB49" s="31">
        <f t="shared" si="39"/>
        <v>433.04927434889981</v>
      </c>
      <c r="AC49" s="31">
        <f t="shared" si="40"/>
        <v>8.0896455986123943</v>
      </c>
      <c r="AD49" s="31">
        <v>37.5</v>
      </c>
      <c r="AE49" s="31">
        <v>2.5</v>
      </c>
      <c r="AF49" s="31">
        <v>21.7</v>
      </c>
      <c r="AG49">
        <v>5</v>
      </c>
      <c r="AH49">
        <f>I17-AF49</f>
        <v>61.997556283655399</v>
      </c>
      <c r="AI49">
        <f>SQRT(J17^2+AG49^2)</f>
        <v>5.3851648071345037</v>
      </c>
      <c r="AJ49">
        <v>50</v>
      </c>
      <c r="AK49">
        <v>25</v>
      </c>
      <c r="AL49">
        <f t="shared" si="43"/>
        <v>0.965632668364789</v>
      </c>
      <c r="AM49">
        <f t="shared" si="44"/>
        <v>0.49004770453695901</v>
      </c>
      <c r="AN49">
        <f t="shared" si="45"/>
        <v>432.08364168053504</v>
      </c>
      <c r="AO49">
        <f t="shared" si="46"/>
        <v>8.104474854293203</v>
      </c>
      <c r="AP49">
        <v>0</v>
      </c>
      <c r="AQ49">
        <v>0</v>
      </c>
      <c r="AR49"/>
      <c r="AS49" s="63">
        <f t="shared" si="47"/>
        <v>0</v>
      </c>
      <c r="AT49">
        <f t="shared" si="48"/>
        <v>0</v>
      </c>
      <c r="AU49" s="63">
        <f t="shared" si="49"/>
        <v>432.08364168053504</v>
      </c>
      <c r="AV49">
        <f t="shared" si="50"/>
        <v>8.104474854293203</v>
      </c>
      <c r="AW49">
        <f>'Air Content'!X23</f>
        <v>0.10747679954881553</v>
      </c>
      <c r="AX49">
        <f>'Air Content'!Y23</f>
        <v>1.7139453491366347E-3</v>
      </c>
      <c r="AY49" s="31">
        <f t="shared" si="51"/>
        <v>46.438966945221104</v>
      </c>
      <c r="AZ49" s="31">
        <f t="shared" si="52"/>
        <v>1.1433094642755495</v>
      </c>
      <c r="BA49" s="31">
        <f t="shared" si="53"/>
        <v>2.4619614506588503</v>
      </c>
      <c r="BC49"/>
      <c r="BD49"/>
      <c r="BE49"/>
    </row>
    <row r="50" spans="1:57" s="31" customFormat="1" ht="17" thickBot="1">
      <c r="A50" s="40" t="str">
        <f t="shared" si="14"/>
        <v>14CO_UR_DC_ICE_SAMPLE_11</v>
      </c>
      <c r="B50" s="29">
        <f t="shared" si="15"/>
        <v>0.98656496341359101</v>
      </c>
      <c r="C50" s="29">
        <f t="shared" si="16"/>
        <v>157219.42375214674</v>
      </c>
      <c r="D50" s="29">
        <f t="shared" si="17"/>
        <v>3082.4960943054007</v>
      </c>
      <c r="E50" s="29">
        <f t="shared" si="18"/>
        <v>11544976.006901911</v>
      </c>
      <c r="F50" s="29">
        <f t="shared" si="19"/>
        <v>62251.749590992833</v>
      </c>
      <c r="G50" s="29">
        <f t="shared" si="20"/>
        <v>11702195.430654056</v>
      </c>
      <c r="H50" s="29">
        <f t="shared" si="21"/>
        <v>62328.020258236058</v>
      </c>
      <c r="I50" s="29">
        <f t="shared" si="22"/>
        <v>74.432249854205878</v>
      </c>
      <c r="J50" s="29">
        <f t="shared" si="23"/>
        <v>4383.2237002537131</v>
      </c>
      <c r="K50" s="29">
        <f t="shared" si="24"/>
        <v>23.722757255134347</v>
      </c>
      <c r="L50" s="31">
        <f t="shared" si="35"/>
        <v>141.64165795490416</v>
      </c>
      <c r="M50" s="31">
        <f t="shared" si="25"/>
        <v>2.3057671256295476</v>
      </c>
      <c r="N50" s="31">
        <f t="shared" si="26"/>
        <v>4324.3349294743894</v>
      </c>
      <c r="O50" s="31">
        <f t="shared" si="27"/>
        <v>23.684649804870649</v>
      </c>
      <c r="P50" s="31">
        <f t="shared" si="36"/>
        <v>1.3041773084776793</v>
      </c>
      <c r="Q50" s="31">
        <f t="shared" si="28"/>
        <v>0.43820026526768158</v>
      </c>
      <c r="R50" s="31">
        <f t="shared" si="29"/>
        <v>140.33748064642649</v>
      </c>
      <c r="S50" s="31">
        <f t="shared" si="30"/>
        <v>2.3470367509083903</v>
      </c>
      <c r="T50" s="31">
        <f t="shared" si="31"/>
        <v>1.7322350451359949</v>
      </c>
      <c r="U50" s="31">
        <f t="shared" si="32"/>
        <v>1.6735443972397653E-3</v>
      </c>
      <c r="V50" s="31">
        <f t="shared" si="33"/>
        <v>243.0975021218344</v>
      </c>
      <c r="W50" s="31">
        <f t="shared" si="34"/>
        <v>4.0723973385104291</v>
      </c>
      <c r="X50" s="31">
        <v>0.99601766406766201</v>
      </c>
      <c r="Y50" s="31">
        <v>5.270029819692823E-4</v>
      </c>
      <c r="Z50" s="31">
        <f t="shared" si="37"/>
        <v>244.06946873717308</v>
      </c>
      <c r="AA50" s="31">
        <f t="shared" si="38"/>
        <v>4.0907187430124266</v>
      </c>
      <c r="AB50" s="31">
        <f t="shared" si="39"/>
        <v>235.7459907642691</v>
      </c>
      <c r="AC50" s="31">
        <f t="shared" si="40"/>
        <v>4.1529269885703917</v>
      </c>
      <c r="AD50" s="31">
        <v>37.5</v>
      </c>
      <c r="AE50" s="31">
        <v>2.5</v>
      </c>
      <c r="AF50">
        <v>36.200000000000003</v>
      </c>
      <c r="AG50">
        <v>5</v>
      </c>
      <c r="AH50">
        <f t="shared" si="41"/>
        <v>28.309192508925832</v>
      </c>
      <c r="AI50">
        <f t="shared" si="42"/>
        <v>5.9371710435189584</v>
      </c>
      <c r="AJ50">
        <v>50</v>
      </c>
      <c r="AK50">
        <v>25</v>
      </c>
      <c r="AL50">
        <f t="shared" si="43"/>
        <v>0.44092513867120431</v>
      </c>
      <c r="AM50">
        <f t="shared" si="44"/>
        <v>0.23907128361333843</v>
      </c>
      <c r="AN50">
        <f t="shared" si="45"/>
        <v>235.30506562559788</v>
      </c>
      <c r="AO50">
        <f t="shared" si="46"/>
        <v>4.1598025976054283</v>
      </c>
      <c r="AP50">
        <v>13.6</v>
      </c>
      <c r="AQ50">
        <v>1</v>
      </c>
      <c r="AR50" s="63">
        <f>'14CO vs depth'!G18</f>
        <v>509.25836915500003</v>
      </c>
      <c r="AS50" s="63">
        <f t="shared" si="47"/>
        <v>12.787470525668953</v>
      </c>
      <c r="AT50">
        <f t="shared" si="48"/>
        <v>0.94025518571095246</v>
      </c>
      <c r="AU50" s="63">
        <f t="shared" si="49"/>
        <v>222.51759509992891</v>
      </c>
      <c r="AV50">
        <f t="shared" si="50"/>
        <v>4.2647435403903486</v>
      </c>
      <c r="AW50" s="31">
        <f>'Air Content'!H14</f>
        <v>8.334968154307601E-2</v>
      </c>
      <c r="AX50" s="31">
        <f>'Air Content'!I14</f>
        <v>3.3008869212777891E-3</v>
      </c>
      <c r="AY50" s="31">
        <f t="shared" si="51"/>
        <v>18.546770689310204</v>
      </c>
      <c r="AZ50" s="31">
        <f t="shared" si="52"/>
        <v>0.81599852250120997</v>
      </c>
      <c r="BA50" s="31">
        <f t="shared" si="53"/>
        <v>4.3996797942378549</v>
      </c>
      <c r="BC50"/>
      <c r="BD50"/>
      <c r="BE50"/>
    </row>
    <row r="51" spans="1:57" s="31" customFormat="1" ht="17" thickBot="1">
      <c r="A51" s="40" t="str">
        <f t="shared" si="14"/>
        <v>14CO_UR_DC_WATER_BLANK_1</v>
      </c>
      <c r="B51" s="29">
        <f t="shared" si="15"/>
        <v>0.99793881666741502</v>
      </c>
      <c r="C51" s="29">
        <f t="shared" si="16"/>
        <v>24076.826288423839</v>
      </c>
      <c r="D51" s="29">
        <f t="shared" si="17"/>
        <v>2493.151162572306</v>
      </c>
      <c r="E51" s="29">
        <f t="shared" si="18"/>
        <v>11656992.929999998</v>
      </c>
      <c r="F51" s="29">
        <f t="shared" si="19"/>
        <v>61633.057770308427</v>
      </c>
      <c r="G51" s="29">
        <f t="shared" si="20"/>
        <v>11681069.756288422</v>
      </c>
      <c r="H51" s="29">
        <f t="shared" si="21"/>
        <v>61683.463041868941</v>
      </c>
      <c r="I51" s="29">
        <f t="shared" si="22"/>
        <v>485.15820217985674</v>
      </c>
      <c r="J51" s="29">
        <f t="shared" si="23"/>
        <v>4895.5350590840417</v>
      </c>
      <c r="K51" s="29">
        <f t="shared" si="24"/>
        <v>26.276632485971092</v>
      </c>
      <c r="L51" s="31">
        <f t="shared" si="35"/>
        <v>6.2650493193943229</v>
      </c>
      <c r="M51" s="31">
        <f t="shared" si="25"/>
        <v>0.40836881104158179</v>
      </c>
      <c r="N51" s="31">
        <f t="shared" si="26"/>
        <v>4885.4444638161722</v>
      </c>
      <c r="O51" s="31">
        <f t="shared" si="27"/>
        <v>26.254111786922529</v>
      </c>
      <c r="P51" s="31">
        <f t="shared" si="36"/>
        <v>1.4734024804853381</v>
      </c>
      <c r="Q51" s="31">
        <f t="shared" si="28"/>
        <v>0.49505704019826491</v>
      </c>
      <c r="R51" s="31">
        <f t="shared" si="29"/>
        <v>4.791646838908985</v>
      </c>
      <c r="S51" s="31">
        <f t="shared" si="30"/>
        <v>0.64175272409346396</v>
      </c>
      <c r="T51" s="31">
        <f t="shared" si="31"/>
        <v>1.9140974269498423</v>
      </c>
      <c r="U51" s="31">
        <f t="shared" si="32"/>
        <v>1.8504675350054917E-3</v>
      </c>
      <c r="V51" s="31">
        <f t="shared" si="33"/>
        <v>9.1716788852080331</v>
      </c>
      <c r="W51" s="31">
        <f t="shared" si="34"/>
        <v>1.2284092390418206</v>
      </c>
      <c r="X51" s="31">
        <v>0.99774913403800503</v>
      </c>
      <c r="Y51" s="31">
        <v>3.0262821819226904E-4</v>
      </c>
      <c r="Z51" s="31">
        <f t="shared" si="37"/>
        <v>9.1923696772245727</v>
      </c>
      <c r="AA51" s="31">
        <f t="shared" si="38"/>
        <v>1.2311836182658844</v>
      </c>
      <c r="AH51"/>
      <c r="AI51"/>
      <c r="AJ51"/>
      <c r="AK51"/>
      <c r="AL51"/>
      <c r="AM51"/>
      <c r="AN51"/>
      <c r="AO51"/>
      <c r="AP51"/>
      <c r="AQ51"/>
      <c r="AR51"/>
      <c r="AS51" s="63"/>
      <c r="AT51"/>
      <c r="AU51" s="63"/>
      <c r="AV51"/>
      <c r="AY51"/>
      <c r="AZ51"/>
      <c r="BC51"/>
      <c r="BD51"/>
      <c r="BE51"/>
    </row>
    <row r="52" spans="1:57" s="31" customFormat="1" ht="17" thickBot="1">
      <c r="A52" s="40" t="str">
        <f t="shared" si="14"/>
        <v>14CO_UR_DC_ICE_SAMPLE_1</v>
      </c>
      <c r="B52" s="29">
        <f t="shared" si="15"/>
        <v>0.98188174786965021</v>
      </c>
      <c r="C52" s="29">
        <f t="shared" si="16"/>
        <v>214775.87207148541</v>
      </c>
      <c r="D52" s="29">
        <f t="shared" si="17"/>
        <v>2790.9846399355624</v>
      </c>
      <c r="E52" s="29">
        <f t="shared" si="18"/>
        <v>11639340.657840122</v>
      </c>
      <c r="F52" s="29">
        <f t="shared" si="19"/>
        <v>62121.326576762534</v>
      </c>
      <c r="G52" s="29">
        <f t="shared" si="20"/>
        <v>11854116.529911608</v>
      </c>
      <c r="H52" s="29">
        <f t="shared" si="21"/>
        <v>62183.991596850225</v>
      </c>
      <c r="I52" s="29">
        <f t="shared" si="22"/>
        <v>55.192961926217279</v>
      </c>
      <c r="J52" s="29">
        <f t="shared" si="23"/>
        <v>4679.4724083619767</v>
      </c>
      <c r="K52" s="29">
        <f t="shared" si="24"/>
        <v>24.956303942863286</v>
      </c>
      <c r="L52" s="31">
        <f t="shared" si="35"/>
        <v>139.90164195899075</v>
      </c>
      <c r="M52" s="31">
        <f t="shared" si="25"/>
        <v>2.9414638319773672</v>
      </c>
      <c r="N52" s="31">
        <f t="shared" si="26"/>
        <v>4594.6885474302599</v>
      </c>
      <c r="O52" s="31">
        <f t="shared" si="27"/>
        <v>24.91739266499216</v>
      </c>
      <c r="P52" s="31">
        <f t="shared" si="36"/>
        <v>1.3857133272073263</v>
      </c>
      <c r="Q52" s="31">
        <f t="shared" si="28"/>
        <v>0.46559494738572443</v>
      </c>
      <c r="R52" s="31">
        <f t="shared" si="29"/>
        <v>138.51592863178342</v>
      </c>
      <c r="S52" s="31">
        <f t="shared" si="30"/>
        <v>2.9780846411514386</v>
      </c>
      <c r="T52" s="31">
        <f t="shared" si="31"/>
        <v>1.8153388834143409</v>
      </c>
      <c r="U52" s="31">
        <f t="shared" si="32"/>
        <v>1.7547017689789367E-3</v>
      </c>
      <c r="V52" s="31">
        <f t="shared" si="33"/>
        <v>251.45335121752225</v>
      </c>
      <c r="W52" s="31">
        <f t="shared" si="34"/>
        <v>5.4116937196541448</v>
      </c>
      <c r="X52" s="31">
        <v>0.99607792166689402</v>
      </c>
      <c r="Y52" s="31">
        <v>5.2065715336790941E-4</v>
      </c>
      <c r="Z52" s="31">
        <f t="shared" si="37"/>
        <v>252.44345421965158</v>
      </c>
      <c r="AA52" s="31">
        <f t="shared" si="38"/>
        <v>5.4346045607619091</v>
      </c>
      <c r="AB52" s="31">
        <f t="shared" si="39"/>
        <v>244.1199762467476</v>
      </c>
      <c r="AC52" s="31">
        <f t="shared" si="40"/>
        <v>5.4815827522548011</v>
      </c>
      <c r="AD52" s="31">
        <v>37.5</v>
      </c>
      <c r="AE52" s="31">
        <v>2.5</v>
      </c>
      <c r="AF52" s="31">
        <v>21.7</v>
      </c>
      <c r="AG52">
        <v>5</v>
      </c>
      <c r="AH52">
        <f t="shared" si="41"/>
        <v>94.711439435340552</v>
      </c>
      <c r="AI52">
        <f t="shared" si="42"/>
        <v>5.9371710435189584</v>
      </c>
      <c r="AJ52">
        <v>50</v>
      </c>
      <c r="AK52">
        <v>25</v>
      </c>
      <c r="AL52">
        <f t="shared" si="43"/>
        <v>1.4751623365311408</v>
      </c>
      <c r="AM52">
        <f t="shared" si="44"/>
        <v>0.74335544253773911</v>
      </c>
      <c r="AN52">
        <f t="shared" si="45"/>
        <v>242.64481391021647</v>
      </c>
      <c r="AO52">
        <f t="shared" si="46"/>
        <v>5.5317562115270222</v>
      </c>
      <c r="AP52">
        <v>13.6</v>
      </c>
      <c r="AQ52">
        <v>1</v>
      </c>
      <c r="AR52" s="63">
        <f>'14CO vs depth'!G8</f>
        <v>510.48358137500003</v>
      </c>
      <c r="AS52" s="63">
        <f t="shared" si="47"/>
        <v>12.785575416283317</v>
      </c>
      <c r="AT52">
        <f t="shared" si="48"/>
        <v>0.94011583943259691</v>
      </c>
      <c r="AU52" s="63">
        <f t="shared" si="49"/>
        <v>229.85923849393316</v>
      </c>
      <c r="AV52">
        <f t="shared" si="50"/>
        <v>5.6110733888730993</v>
      </c>
      <c r="AW52" s="31">
        <f>'Air Content'!H4</f>
        <v>8.122100101539545E-2</v>
      </c>
      <c r="AX52" s="31">
        <f>'Air Content'!I4</f>
        <v>3.3008869212777891E-3</v>
      </c>
      <c r="AY52" s="31">
        <f t="shared" si="51"/>
        <v>18.66939744311377</v>
      </c>
      <c r="AZ52" s="31">
        <f t="shared" si="52"/>
        <v>0.8850884804593947</v>
      </c>
      <c r="BA52" s="31">
        <f t="shared" si="53"/>
        <v>4.7408518842468625</v>
      </c>
      <c r="BC52"/>
      <c r="BD52"/>
      <c r="BE52"/>
    </row>
    <row r="53" spans="1:57" s="31" customFormat="1" ht="17" thickBot="1">
      <c r="A53" s="40" t="str">
        <f t="shared" si="14"/>
        <v>14CO_UR_DC_ICE_SAMPLE_9</v>
      </c>
      <c r="B53" s="29">
        <f t="shared" si="15"/>
        <v>0.98447784961526541</v>
      </c>
      <c r="C53" s="29">
        <f t="shared" si="16"/>
        <v>183223.33642517118</v>
      </c>
      <c r="D53" s="29">
        <f t="shared" si="17"/>
        <v>2644.1994808270624</v>
      </c>
      <c r="E53" s="29">
        <f t="shared" si="18"/>
        <v>11620768.5</v>
      </c>
      <c r="F53" s="29">
        <f t="shared" si="19"/>
        <v>61738.467340600022</v>
      </c>
      <c r="G53" s="29">
        <f t="shared" si="20"/>
        <v>11803991.83642517</v>
      </c>
      <c r="H53" s="29">
        <f t="shared" si="21"/>
        <v>61795.065664345253</v>
      </c>
      <c r="I53" s="29">
        <f t="shared" si="22"/>
        <v>64.424063368401477</v>
      </c>
      <c r="J53" s="29">
        <f t="shared" si="23"/>
        <v>4802.2397868628996</v>
      </c>
      <c r="K53" s="29">
        <f t="shared" si="24"/>
        <v>25.560209490455865</v>
      </c>
      <c r="L53" s="31">
        <f t="shared" si="35"/>
        <v>181.80746813906225</v>
      </c>
      <c r="M53" s="31">
        <f t="shared" si="25"/>
        <v>2.8916580978038509</v>
      </c>
      <c r="N53" s="31">
        <f t="shared" si="26"/>
        <v>4727.698698707658</v>
      </c>
      <c r="O53" s="31">
        <f t="shared" si="27"/>
        <v>25.524716195755552</v>
      </c>
      <c r="P53" s="31">
        <f t="shared" si="36"/>
        <v>1.4258278937065152</v>
      </c>
      <c r="Q53" s="31">
        <f t="shared" si="28"/>
        <v>0.47907275108540265</v>
      </c>
      <c r="R53" s="31">
        <f t="shared" si="29"/>
        <v>180.38164024535573</v>
      </c>
      <c r="S53" s="31">
        <f t="shared" si="30"/>
        <v>2.9310744199742049</v>
      </c>
      <c r="T53" s="31">
        <f t="shared" si="31"/>
        <v>1.8592220672461628</v>
      </c>
      <c r="U53" s="31">
        <f t="shared" si="32"/>
        <v>1.796227709851017E-3</v>
      </c>
      <c r="V53" s="31">
        <f t="shared" si="33"/>
        <v>335.36952607022391</v>
      </c>
      <c r="W53" s="31">
        <f t="shared" si="34"/>
        <v>5.4591418085796848</v>
      </c>
      <c r="X53" s="31">
        <v>0.99675440908828028</v>
      </c>
      <c r="Y53" s="31">
        <v>4.3003129281610208E-4</v>
      </c>
      <c r="Z53" s="31">
        <f t="shared" si="37"/>
        <v>336.4615425950135</v>
      </c>
      <c r="AA53" s="31">
        <f t="shared" si="38"/>
        <v>5.4788409655824184</v>
      </c>
      <c r="AB53" s="31">
        <f t="shared" si="39"/>
        <v>328.13806462210954</v>
      </c>
      <c r="AC53" s="31">
        <f t="shared" si="40"/>
        <v>5.5254430649593393</v>
      </c>
      <c r="AD53" s="31">
        <v>37.5</v>
      </c>
      <c r="AE53" s="31">
        <v>2.5</v>
      </c>
      <c r="AF53">
        <v>41.2</v>
      </c>
      <c r="AG53">
        <v>5</v>
      </c>
      <c r="AH53">
        <f t="shared" si="41"/>
        <v>59.888436014767152</v>
      </c>
      <c r="AI53">
        <f t="shared" si="42"/>
        <v>5.9371710435189584</v>
      </c>
      <c r="AJ53">
        <v>50</v>
      </c>
      <c r="AK53">
        <v>25</v>
      </c>
      <c r="AL53">
        <f t="shared" si="43"/>
        <v>0.93278241498011261</v>
      </c>
      <c r="AM53">
        <f t="shared" si="44"/>
        <v>0.47547039087045878</v>
      </c>
      <c r="AN53">
        <f t="shared" si="45"/>
        <v>327.20528220712941</v>
      </c>
      <c r="AO53">
        <f t="shared" si="46"/>
        <v>5.5458627062614676</v>
      </c>
      <c r="AP53">
        <v>13.6</v>
      </c>
      <c r="AQ53">
        <v>1</v>
      </c>
      <c r="AR53" s="63">
        <f>'14CO vs depth'!G15</f>
        <v>6311.1383986527999</v>
      </c>
      <c r="AS53" s="63">
        <f t="shared" si="47"/>
        <v>6.3383849923654783</v>
      </c>
      <c r="AT53">
        <f t="shared" si="48"/>
        <v>0.4660577200268734</v>
      </c>
      <c r="AU53" s="63">
        <f t="shared" si="49"/>
        <v>320.86689721476392</v>
      </c>
      <c r="AV53">
        <f t="shared" si="50"/>
        <v>5.5654113015210669</v>
      </c>
      <c r="AW53" s="31">
        <f>'Air Content'!H12</f>
        <v>8.7813512031462412E-2</v>
      </c>
      <c r="AX53" s="31">
        <f>'Air Content'!I12</f>
        <v>7.0540856064471124E-4</v>
      </c>
      <c r="AY53" s="31">
        <f t="shared" si="51"/>
        <v>28.176449139066683</v>
      </c>
      <c r="AZ53" s="31">
        <f t="shared" si="52"/>
        <v>0.5385874169255993</v>
      </c>
      <c r="BA53" s="31">
        <f t="shared" si="53"/>
        <v>1.9114808053611236</v>
      </c>
      <c r="BC53"/>
      <c r="BD53"/>
      <c r="BE53"/>
    </row>
    <row r="54" spans="1:57" s="31" customFormat="1" ht="17" thickBot="1">
      <c r="A54" s="40" t="str">
        <f t="shared" si="14"/>
        <v>14CO_UR_DC_ICE_SAMPLE_3</v>
      </c>
      <c r="B54" s="29">
        <f t="shared" si="15"/>
        <v>0.98917272081991259</v>
      </c>
      <c r="C54" s="29">
        <f t="shared" si="16"/>
        <v>127570.16524693933</v>
      </c>
      <c r="D54" s="29">
        <f t="shared" si="17"/>
        <v>3005.0770778751439</v>
      </c>
      <c r="E54" s="29">
        <f t="shared" si="18"/>
        <v>11654721.869999997</v>
      </c>
      <c r="F54" s="29">
        <f t="shared" si="19"/>
        <v>62622.829440421243</v>
      </c>
      <c r="G54" s="29">
        <f t="shared" si="20"/>
        <v>11782292.035246937</v>
      </c>
      <c r="H54" s="29">
        <f t="shared" si="21"/>
        <v>62694.890185469339</v>
      </c>
      <c r="I54" s="29">
        <f t="shared" si="22"/>
        <v>92.359306836671337</v>
      </c>
      <c r="J54" s="29">
        <f t="shared" si="23"/>
        <v>4459.9586626538394</v>
      </c>
      <c r="K54" s="29">
        <f t="shared" si="24"/>
        <v>24.115806011265796</v>
      </c>
      <c r="L54" s="31">
        <f t="shared" si="35"/>
        <v>191.11893795391316</v>
      </c>
      <c r="M54" s="31">
        <f t="shared" si="25"/>
        <v>4.3766296235393938</v>
      </c>
      <c r="N54" s="31">
        <f t="shared" si="26"/>
        <v>4411.6694450816376</v>
      </c>
      <c r="O54" s="31">
        <f t="shared" si="27"/>
        <v>24.080751248349813</v>
      </c>
      <c r="P54" s="31">
        <f t="shared" si="36"/>
        <v>1.3305165480045553</v>
      </c>
      <c r="Q54" s="31">
        <f t="shared" si="28"/>
        <v>0.44704977929619466</v>
      </c>
      <c r="R54" s="31">
        <f t="shared" si="29"/>
        <v>189.78842140590859</v>
      </c>
      <c r="S54" s="31">
        <f t="shared" si="30"/>
        <v>4.3994022738107672</v>
      </c>
      <c r="T54" s="31">
        <f t="shared" si="31"/>
        <v>1.7582363022245884</v>
      </c>
      <c r="U54" s="31">
        <f t="shared" si="32"/>
        <v>1.6986635551285358E-3</v>
      </c>
      <c r="V54" s="31">
        <f t="shared" si="33"/>
        <v>333.69289225776663</v>
      </c>
      <c r="W54" s="31">
        <f t="shared" si="34"/>
        <v>7.7419040759715259</v>
      </c>
      <c r="X54" s="31">
        <v>0.99581657829916737</v>
      </c>
      <c r="Y54" s="31">
        <v>5.5692364380094395E-4</v>
      </c>
      <c r="Z54" s="31">
        <f t="shared" si="37"/>
        <v>335.09473484334501</v>
      </c>
      <c r="AA54" s="31">
        <f t="shared" si="38"/>
        <v>7.7766862142007431</v>
      </c>
      <c r="AB54" s="31">
        <f t="shared" si="39"/>
        <v>326.77125687044105</v>
      </c>
      <c r="AC54" s="31">
        <f t="shared" si="40"/>
        <v>7.8095884150256634</v>
      </c>
      <c r="AD54" s="31">
        <v>37.5</v>
      </c>
      <c r="AE54" s="31">
        <v>2.5</v>
      </c>
      <c r="AF54">
        <v>21.7</v>
      </c>
      <c r="AG54">
        <v>5</v>
      </c>
      <c r="AH54">
        <f t="shared" si="41"/>
        <v>25.703855341468074</v>
      </c>
      <c r="AI54">
        <f t="shared" si="42"/>
        <v>5.9371710435189584</v>
      </c>
      <c r="AJ54">
        <v>50</v>
      </c>
      <c r="AK54">
        <v>25</v>
      </c>
      <c r="AL54">
        <f t="shared" si="43"/>
        <v>0.40034614117827494</v>
      </c>
      <c r="AM54">
        <f t="shared" si="44"/>
        <v>0.22050077632416154</v>
      </c>
      <c r="AN54">
        <f t="shared" si="45"/>
        <v>326.37091072926279</v>
      </c>
      <c r="AO54">
        <f t="shared" si="46"/>
        <v>7.8127006729083517</v>
      </c>
      <c r="AP54">
        <v>13.6</v>
      </c>
      <c r="AQ54">
        <v>1</v>
      </c>
      <c r="AR54" s="63">
        <f>'14CO vs depth'!G9</f>
        <v>1977.4859696599999</v>
      </c>
      <c r="AS54" s="63">
        <f t="shared" si="47"/>
        <v>10.706566769154586</v>
      </c>
      <c r="AT54">
        <f t="shared" si="48"/>
        <v>0.78724755655548428</v>
      </c>
      <c r="AU54" s="63">
        <f t="shared" si="49"/>
        <v>315.66434396010823</v>
      </c>
      <c r="AV54">
        <f t="shared" si="50"/>
        <v>7.8522640378278918</v>
      </c>
      <c r="AW54" s="31">
        <f>'Air Content'!H6</f>
        <v>8.5054917213879352E-2</v>
      </c>
      <c r="AX54" s="31">
        <f>'Air Content'!I6</f>
        <v>3.9820107051383006E-4</v>
      </c>
      <c r="AY54" s="31">
        <f t="shared" si="51"/>
        <v>26.848804642900543</v>
      </c>
      <c r="AZ54" s="31">
        <f t="shared" si="52"/>
        <v>0.67959928850537565</v>
      </c>
      <c r="BA54" s="31">
        <f t="shared" si="53"/>
        <v>2.5312087355258766</v>
      </c>
      <c r="BC54"/>
      <c r="BD54"/>
      <c r="BE54"/>
    </row>
    <row r="55" spans="1:57" s="31" customFormat="1" ht="17" thickBot="1">
      <c r="A55" s="40" t="str">
        <f t="shared" si="14"/>
        <v>14CO_UR_DC_ICE_SAMPLE_12</v>
      </c>
      <c r="B55" s="29">
        <f t="shared" si="15"/>
        <v>0.98735605103622415</v>
      </c>
      <c r="C55" s="29">
        <f t="shared" si="16"/>
        <v>149201.02571260274</v>
      </c>
      <c r="D55" s="29">
        <f t="shared" si="17"/>
        <v>3205.5047231849057</v>
      </c>
      <c r="E55" s="29">
        <f t="shared" si="18"/>
        <v>11650990.998160157</v>
      </c>
      <c r="F55" s="29">
        <f t="shared" si="19"/>
        <v>63024.220907186063</v>
      </c>
      <c r="G55" s="29">
        <f t="shared" si="20"/>
        <v>11800192.023872759</v>
      </c>
      <c r="H55" s="29">
        <f t="shared" si="21"/>
        <v>63105.686601828122</v>
      </c>
      <c r="I55" s="29">
        <f t="shared" si="22"/>
        <v>79.089215154611495</v>
      </c>
      <c r="J55" s="29">
        <f t="shared" si="23"/>
        <v>4304.0643676280861</v>
      </c>
      <c r="K55" s="29">
        <f t="shared" si="24"/>
        <v>23.386251314592201</v>
      </c>
      <c r="L55" s="31">
        <f t="shared" si="35"/>
        <v>162.46487845695302</v>
      </c>
      <c r="M55" s="31">
        <f t="shared" si="25"/>
        <v>3.0495579631166918</v>
      </c>
      <c r="N55" s="31">
        <f t="shared" si="26"/>
        <v>4249.6439974269906</v>
      </c>
      <c r="O55" s="31">
        <f t="shared" si="27"/>
        <v>23.347799976614503</v>
      </c>
      <c r="P55" s="31">
        <f t="shared" si="36"/>
        <v>1.2816512506412885</v>
      </c>
      <c r="Q55" s="31">
        <f t="shared" si="28"/>
        <v>0.43063192269445921</v>
      </c>
      <c r="R55" s="31">
        <f t="shared" si="29"/>
        <v>161.18322720631173</v>
      </c>
      <c r="S55" s="31">
        <f t="shared" si="30"/>
        <v>3.0798129201709563</v>
      </c>
      <c r="T55" s="31">
        <f t="shared" si="31"/>
        <v>1.7106005053208555</v>
      </c>
      <c r="U55" s="31">
        <f t="shared" si="32"/>
        <v>1.6529151021231277E-3</v>
      </c>
      <c r="V55" s="31">
        <f t="shared" si="33"/>
        <v>275.7201099083631</v>
      </c>
      <c r="W55" s="31">
        <f t="shared" si="34"/>
        <v>5.2750617910755677</v>
      </c>
      <c r="X55" s="31">
        <v>0.99594939743437294</v>
      </c>
      <c r="Y55" s="31">
        <v>5.3571437956406731E-4</v>
      </c>
      <c r="Z55" s="31">
        <f t="shared" si="37"/>
        <v>276.84148473670962</v>
      </c>
      <c r="AA55" s="31">
        <f t="shared" si="38"/>
        <v>5.2986087711443339</v>
      </c>
      <c r="AB55" s="31">
        <f t="shared" si="39"/>
        <v>268.51800676380566</v>
      </c>
      <c r="AC55" s="31">
        <f t="shared" si="40"/>
        <v>5.346781989908588</v>
      </c>
      <c r="AD55" s="31">
        <v>37.5</v>
      </c>
      <c r="AE55" s="31">
        <v>2.5</v>
      </c>
      <c r="AF55">
        <v>36.200000000000003</v>
      </c>
      <c r="AG55">
        <v>5</v>
      </c>
      <c r="AH55">
        <f t="shared" si="41"/>
        <v>19.391512765742775</v>
      </c>
      <c r="AI55">
        <f t="shared" si="42"/>
        <v>5.9371710435189584</v>
      </c>
      <c r="AJ55">
        <v>50</v>
      </c>
      <c r="AK55">
        <v>25</v>
      </c>
      <c r="AL55">
        <f t="shared" si="43"/>
        <v>0.30202929499256109</v>
      </c>
      <c r="AM55">
        <f t="shared" si="44"/>
        <v>0.17707839486764043</v>
      </c>
      <c r="AN55">
        <f t="shared" si="45"/>
        <v>268.21597746881309</v>
      </c>
      <c r="AO55">
        <f t="shared" si="46"/>
        <v>5.3497134881729638</v>
      </c>
      <c r="AP55">
        <v>13.6</v>
      </c>
      <c r="AQ55">
        <v>1</v>
      </c>
      <c r="AR55" s="63">
        <f>'14CO vs depth'!G19</f>
        <v>1221.8958767399999</v>
      </c>
      <c r="AS55" s="63">
        <f t="shared" si="47"/>
        <v>11.731288372651157</v>
      </c>
      <c r="AT55">
        <f t="shared" si="48"/>
        <v>0.86259473328317338</v>
      </c>
      <c r="AU55" s="63">
        <f t="shared" si="49"/>
        <v>256.48468909616196</v>
      </c>
      <c r="AV55">
        <f t="shared" si="50"/>
        <v>5.4188102088399077</v>
      </c>
      <c r="AW55" s="31">
        <f>'Air Content'!H15</f>
        <v>8.4750631035932597E-2</v>
      </c>
      <c r="AX55" s="31">
        <f>'Air Content'!I15</f>
        <v>9.6441995647111455E-4</v>
      </c>
      <c r="AY55" s="31">
        <f t="shared" si="51"/>
        <v>21.737239251954705</v>
      </c>
      <c r="AZ55" s="31">
        <f t="shared" si="52"/>
        <v>0.52162706553304206</v>
      </c>
      <c r="BA55" s="31">
        <f t="shared" si="53"/>
        <v>2.3996932613516462</v>
      </c>
      <c r="BC55"/>
      <c r="BD55"/>
      <c r="BE55"/>
    </row>
    <row r="56" spans="1:57" s="31" customFormat="1" ht="17" thickBot="1">
      <c r="A56" s="40" t="str">
        <f t="shared" si="14"/>
        <v>14CO_UR_DC_ICE_SAMPLE_4</v>
      </c>
      <c r="B56" s="29">
        <f t="shared" si="15"/>
        <v>0.98716525938510358</v>
      </c>
      <c r="C56" s="29">
        <f t="shared" si="16"/>
        <v>149881.43415164083</v>
      </c>
      <c r="D56" s="29">
        <f t="shared" si="17"/>
        <v>2845.1834782978462</v>
      </c>
      <c r="E56" s="29">
        <f t="shared" si="18"/>
        <v>11527910.790000003</v>
      </c>
      <c r="F56" s="29">
        <f t="shared" si="19"/>
        <v>61696.854575829107</v>
      </c>
      <c r="G56" s="29">
        <f t="shared" si="20"/>
        <v>11677792.224151643</v>
      </c>
      <c r="H56" s="29">
        <f t="shared" si="21"/>
        <v>61762.423313663654</v>
      </c>
      <c r="I56" s="29">
        <f t="shared" si="22"/>
        <v>77.913534056104439</v>
      </c>
      <c r="J56" s="29">
        <f t="shared" si="23"/>
        <v>4580.5232998364909</v>
      </c>
      <c r="K56" s="29">
        <f t="shared" si="24"/>
        <v>24.623494519864352</v>
      </c>
      <c r="L56" s="31">
        <f t="shared" si="35"/>
        <v>196.00799224889877</v>
      </c>
      <c r="M56" s="31">
        <f t="shared" si="25"/>
        <v>3.5481565346109591</v>
      </c>
      <c r="N56" s="31">
        <f t="shared" si="26"/>
        <v>4521.7334714026001</v>
      </c>
      <c r="O56" s="31">
        <f t="shared" si="27"/>
        <v>24.588118649530543</v>
      </c>
      <c r="P56" s="31">
        <f t="shared" si="36"/>
        <v>1.3637107866443772</v>
      </c>
      <c r="Q56" s="31">
        <f t="shared" si="28"/>
        <v>0.45820249236773791</v>
      </c>
      <c r="R56" s="31">
        <f t="shared" si="29"/>
        <v>194.64428146225438</v>
      </c>
      <c r="S56" s="31">
        <f t="shared" si="30"/>
        <v>3.5776199236523794</v>
      </c>
      <c r="T56" s="31">
        <f t="shared" si="31"/>
        <v>1.7921377617442213</v>
      </c>
      <c r="U56" s="31">
        <f t="shared" si="32"/>
        <v>1.7337094981890113E-3</v>
      </c>
      <c r="V56" s="31">
        <f t="shared" si="33"/>
        <v>348.82936691607682</v>
      </c>
      <c r="W56" s="31">
        <f t="shared" si="34"/>
        <v>6.4204621810141473</v>
      </c>
      <c r="X56" s="31">
        <v>0.99613765655756448</v>
      </c>
      <c r="Y56" s="31">
        <v>5.1256709574515336E-4</v>
      </c>
      <c r="Z56" s="31">
        <f t="shared" si="37"/>
        <v>350.18188964119219</v>
      </c>
      <c r="AA56" s="31">
        <f t="shared" si="38"/>
        <v>6.4478745499543546</v>
      </c>
      <c r="AB56" s="31">
        <f t="shared" si="39"/>
        <v>341.85841166828823</v>
      </c>
      <c r="AC56" s="31">
        <f t="shared" si="40"/>
        <v>6.4875194758792238</v>
      </c>
      <c r="AD56" s="31">
        <v>37.5</v>
      </c>
      <c r="AE56" s="31">
        <v>2.5</v>
      </c>
      <c r="AF56">
        <v>21.7</v>
      </c>
      <c r="AG56">
        <v>5</v>
      </c>
      <c r="AH56">
        <f t="shared" si="41"/>
        <v>46.159471542839896</v>
      </c>
      <c r="AI56">
        <f t="shared" si="42"/>
        <v>5.9371710435189584</v>
      </c>
      <c r="AJ56">
        <v>50</v>
      </c>
      <c r="AK56">
        <v>25</v>
      </c>
      <c r="AL56">
        <f t="shared" si="43"/>
        <v>0.71894920296998821</v>
      </c>
      <c r="AM56">
        <f t="shared" si="44"/>
        <v>0.3711782904255978</v>
      </c>
      <c r="AN56">
        <f t="shared" si="45"/>
        <v>341.13946246531822</v>
      </c>
      <c r="AO56">
        <f t="shared" si="46"/>
        <v>6.498129136389605</v>
      </c>
      <c r="AP56">
        <v>13.6</v>
      </c>
      <c r="AQ56">
        <v>1</v>
      </c>
      <c r="AR56" s="63">
        <f>'14CO vs depth'!G10</f>
        <v>2793.5735988500001</v>
      </c>
      <c r="AS56" s="63">
        <f t="shared" si="47"/>
        <v>9.7001056930075507</v>
      </c>
      <c r="AT56">
        <f t="shared" si="48"/>
        <v>0.71324306566231988</v>
      </c>
      <c r="AU56" s="63">
        <f t="shared" si="49"/>
        <v>331.43935677231065</v>
      </c>
      <c r="AV56">
        <f t="shared" si="50"/>
        <v>6.5371551873816562</v>
      </c>
      <c r="AW56" s="31">
        <f>'Air Content'!H7</f>
        <v>8.5930271594784974E-2</v>
      </c>
      <c r="AX56" s="31">
        <f>'Air Content'!I7</f>
        <v>3.4471077633150778E-4</v>
      </c>
      <c r="AY56" s="31">
        <f t="shared" si="51"/>
        <v>28.480673944645488</v>
      </c>
      <c r="AZ56" s="31">
        <f t="shared" si="52"/>
        <v>0.5732403646684654</v>
      </c>
      <c r="BA56" s="31">
        <f t="shared" si="53"/>
        <v>2.0127345503923282</v>
      </c>
      <c r="BC56"/>
      <c r="BD56"/>
      <c r="BE56"/>
    </row>
    <row r="57" spans="1:57" s="31" customFormat="1" ht="17" thickBot="1">
      <c r="A57" s="40" t="str">
        <f t="shared" si="14"/>
        <v>14CO_UR_DC_WATER_BLANK_3</v>
      </c>
      <c r="B57" s="29">
        <f t="shared" si="15"/>
        <v>0.99758578619997962</v>
      </c>
      <c r="C57" s="29">
        <f t="shared" si="16"/>
        <v>28229.939680706171</v>
      </c>
      <c r="D57" s="29">
        <f t="shared" si="17"/>
        <v>2347.737697229174</v>
      </c>
      <c r="E57" s="29">
        <f t="shared" si="18"/>
        <v>11664992.790000001</v>
      </c>
      <c r="F57" s="29">
        <f t="shared" si="19"/>
        <v>61401.907695441994</v>
      </c>
      <c r="G57" s="29">
        <f t="shared" si="20"/>
        <v>11693222.729680708</v>
      </c>
      <c r="H57" s="29">
        <f t="shared" si="21"/>
        <v>61446.774861945116</v>
      </c>
      <c r="I57" s="29">
        <f t="shared" si="22"/>
        <v>414.21352159928534</v>
      </c>
      <c r="J57" s="29">
        <f t="shared" si="23"/>
        <v>5052.9430703145172</v>
      </c>
      <c r="K57" s="29">
        <f t="shared" si="24"/>
        <v>26.993617531255524</v>
      </c>
      <c r="L57" s="31">
        <f t="shared" si="35"/>
        <v>5.3773905994031947</v>
      </c>
      <c r="M57" s="31">
        <f t="shared" si="25"/>
        <v>0.22300875063452971</v>
      </c>
      <c r="N57" s="31">
        <f t="shared" si="26"/>
        <v>5040.7441854234467</v>
      </c>
      <c r="O57" s="31">
        <f t="shared" si="27"/>
        <v>26.972435756696033</v>
      </c>
      <c r="P57" s="31">
        <f t="shared" si="36"/>
        <v>1.5202393643614274</v>
      </c>
      <c r="Q57" s="31">
        <f t="shared" si="28"/>
        <v>0.51079347676900777</v>
      </c>
      <c r="R57" s="31">
        <f t="shared" si="29"/>
        <v>3.8571512350417674</v>
      </c>
      <c r="S57" s="31">
        <f t="shared" si="30"/>
        <v>0.55735345945759118</v>
      </c>
      <c r="T57" s="31">
        <f t="shared" si="31"/>
        <v>1.9713809389130637</v>
      </c>
      <c r="U57" s="31">
        <f t="shared" si="32"/>
        <v>1.9058467846124231E-3</v>
      </c>
      <c r="V57" s="31">
        <f t="shared" si="33"/>
        <v>7.6039144232663221</v>
      </c>
      <c r="W57" s="31">
        <f t="shared" si="34"/>
        <v>1.0987805770422481</v>
      </c>
      <c r="X57" s="31">
        <v>0.9962730047960211</v>
      </c>
      <c r="Y57" s="31">
        <v>4.9352330013108237E-4</v>
      </c>
      <c r="Z57" s="31">
        <f t="shared" si="37"/>
        <v>7.6323601931010492</v>
      </c>
      <c r="AA57" s="31">
        <f t="shared" si="38"/>
        <v>1.1028975272421697</v>
      </c>
      <c r="AH57"/>
      <c r="AI57"/>
      <c r="AJ57"/>
      <c r="AK57"/>
      <c r="AL57"/>
      <c r="AM57"/>
      <c r="AN57"/>
      <c r="AO57"/>
      <c r="AP57"/>
      <c r="AQ57"/>
      <c r="AR57"/>
      <c r="AS57" s="63"/>
      <c r="AT57"/>
      <c r="AU57" s="63"/>
      <c r="AV57"/>
      <c r="AY57"/>
      <c r="AZ57"/>
      <c r="BC57"/>
      <c r="BD57"/>
    </row>
    <row r="58" spans="1:57" s="31" customFormat="1" ht="17" thickBot="1">
      <c r="A58" s="40" t="str">
        <f t="shared" si="14"/>
        <v>14CO_UR_DC_ICE_SAMPLE_7</v>
      </c>
      <c r="B58" s="29">
        <f t="shared" si="15"/>
        <v>0.98710108380391592</v>
      </c>
      <c r="C58" s="29">
        <f t="shared" si="16"/>
        <v>152072.63916109188</v>
      </c>
      <c r="D58" s="29">
        <f t="shared" si="17"/>
        <v>3010.9884030623257</v>
      </c>
      <c r="E58" s="29">
        <f t="shared" si="18"/>
        <v>11637494.550000001</v>
      </c>
      <c r="F58" s="29">
        <f t="shared" si="19"/>
        <v>62555.100014368611</v>
      </c>
      <c r="G58" s="29">
        <f t="shared" si="20"/>
        <v>11789567.189161092</v>
      </c>
      <c r="H58" s="29">
        <f t="shared" si="21"/>
        <v>62627.52261562831</v>
      </c>
      <c r="I58" s="29">
        <f t="shared" si="22"/>
        <v>77.525893245479224</v>
      </c>
      <c r="J58" s="29">
        <f t="shared" si="23"/>
        <v>4460.5749355523867</v>
      </c>
      <c r="K58" s="29">
        <f t="shared" si="24"/>
        <v>24.079898270277713</v>
      </c>
      <c r="L58" s="31">
        <f t="shared" si="35"/>
        <v>198.41207588313341</v>
      </c>
      <c r="M58" s="31">
        <f t="shared" si="25"/>
        <v>3.6712850836307904</v>
      </c>
      <c r="N58" s="31">
        <f t="shared" si="26"/>
        <v>4403.0383532723436</v>
      </c>
      <c r="O58" s="31">
        <f t="shared" si="27"/>
        <v>24.043138055093106</v>
      </c>
      <c r="P58" s="31">
        <f t="shared" si="36"/>
        <v>1.3279134947562177</v>
      </c>
      <c r="Q58" s="31">
        <f t="shared" si="28"/>
        <v>0.44617520735061206</v>
      </c>
      <c r="R58" s="31">
        <f t="shared" si="29"/>
        <v>197.08416238837719</v>
      </c>
      <c r="S58" s="31">
        <f t="shared" si="30"/>
        <v>3.6982977815400835</v>
      </c>
      <c r="T58" s="31">
        <f t="shared" si="31"/>
        <v>1.7556319434065661</v>
      </c>
      <c r="U58" s="31">
        <f t="shared" si="32"/>
        <v>1.6967084681926885E-3</v>
      </c>
      <c r="V58" s="31">
        <f t="shared" si="33"/>
        <v>346.00725102856194</v>
      </c>
      <c r="W58" s="31">
        <f t="shared" si="34"/>
        <v>6.5014549986032755</v>
      </c>
      <c r="X58" s="31">
        <v>0.99594163531580626</v>
      </c>
      <c r="Y58" s="31">
        <v>5.3735978066171697E-4</v>
      </c>
      <c r="Z58" s="31">
        <f t="shared" si="37"/>
        <v>347.41719671037288</v>
      </c>
      <c r="AA58" s="31">
        <f t="shared" si="38"/>
        <v>6.5306385144282828</v>
      </c>
      <c r="AB58" s="31">
        <f t="shared" si="39"/>
        <v>339.09371873746892</v>
      </c>
      <c r="AC58" s="31">
        <f t="shared" si="40"/>
        <v>6.5697840256813027</v>
      </c>
      <c r="AD58" s="31">
        <v>37.5</v>
      </c>
      <c r="AE58" s="31">
        <v>2.5</v>
      </c>
      <c r="AF58">
        <v>41.2</v>
      </c>
      <c r="AG58">
        <v>5</v>
      </c>
      <c r="AH58">
        <f t="shared" si="41"/>
        <v>22.313061765284644</v>
      </c>
      <c r="AI58">
        <f t="shared" si="42"/>
        <v>5.9371710435189584</v>
      </c>
      <c r="AJ58">
        <v>50</v>
      </c>
      <c r="AK58">
        <v>25</v>
      </c>
      <c r="AL58">
        <f t="shared" si="43"/>
        <v>0.34753339749748258</v>
      </c>
      <c r="AM58">
        <f t="shared" si="44"/>
        <v>0.19684054400582701</v>
      </c>
      <c r="AN58">
        <f t="shared" si="45"/>
        <v>338.74618533997142</v>
      </c>
      <c r="AO58">
        <f t="shared" si="46"/>
        <v>6.5727321825753506</v>
      </c>
      <c r="AP58">
        <v>13.6</v>
      </c>
      <c r="AQ58">
        <v>1</v>
      </c>
      <c r="AR58" s="63">
        <f>'14CO vs depth'!G13</f>
        <v>4837.7980844536096</v>
      </c>
      <c r="AS58" s="63">
        <f t="shared" si="47"/>
        <v>7.5749824462182369</v>
      </c>
      <c r="AT58">
        <f t="shared" si="48"/>
        <v>0.55698400339839982</v>
      </c>
      <c r="AU58" s="63">
        <f t="shared" si="49"/>
        <v>331.17120289375316</v>
      </c>
      <c r="AV58">
        <f t="shared" si="50"/>
        <v>6.5962898301926849</v>
      </c>
      <c r="AW58" s="31">
        <f>'Air Content'!H10</f>
        <v>8.7420779437196755E-2</v>
      </c>
      <c r="AX58" s="31">
        <f>'Air Content'!I10</f>
        <v>9.442416090663546E-4</v>
      </c>
      <c r="AY58" s="31">
        <f t="shared" si="51"/>
        <v>28.951244684125932</v>
      </c>
      <c r="AZ58" s="31">
        <f t="shared" si="52"/>
        <v>0.65598266788297066</v>
      </c>
      <c r="BA58" s="31">
        <f t="shared" si="53"/>
        <v>2.2658185340219528</v>
      </c>
      <c r="BC58"/>
      <c r="BD58"/>
    </row>
    <row r="59" spans="1:57" s="24" customFormat="1" ht="17" thickBot="1">
      <c r="A59" s="36" t="str">
        <f t="shared" si="14"/>
        <v>14CO_UR_DC_ICE_SAMPLE_2</v>
      </c>
      <c r="B59" s="34">
        <f t="shared" si="15"/>
        <v>0.98818761725854165</v>
      </c>
      <c r="C59" s="34">
        <f t="shared" si="16"/>
        <v>138851.85808376959</v>
      </c>
      <c r="D59" s="34">
        <f t="shared" si="17"/>
        <v>2968.2084774087098</v>
      </c>
      <c r="E59" s="34">
        <f t="shared" si="18"/>
        <v>11615919.479999999</v>
      </c>
      <c r="F59" s="34">
        <f t="shared" si="19"/>
        <v>62362.905385755526</v>
      </c>
      <c r="G59" s="34">
        <f t="shared" si="20"/>
        <v>11754771.338083768</v>
      </c>
      <c r="H59" s="34">
        <f t="shared" si="21"/>
        <v>62433.502462364362</v>
      </c>
      <c r="I59" s="34">
        <f t="shared" si="22"/>
        <v>84.656925015667355</v>
      </c>
      <c r="J59" s="34">
        <f t="shared" si="23"/>
        <v>4487.3006874746216</v>
      </c>
      <c r="K59" s="34">
        <f t="shared" si="24"/>
        <v>24.220725526973556</v>
      </c>
      <c r="L59" s="24">
        <f t="shared" si="35"/>
        <v>123.53060048193966</v>
      </c>
      <c r="M59" s="24">
        <f t="shared" si="25"/>
        <v>11.650989601036848</v>
      </c>
      <c r="N59" s="24">
        <f t="shared" si="26"/>
        <v>4434.294974278162</v>
      </c>
      <c r="O59" s="24">
        <f t="shared" si="27"/>
        <v>24.185175008338138</v>
      </c>
      <c r="P59" s="24">
        <f t="shared" si="36"/>
        <v>1.3373401873043895</v>
      </c>
      <c r="Q59" s="24">
        <f t="shared" si="28"/>
        <v>0.44934240928571206</v>
      </c>
      <c r="R59" s="24">
        <f t="shared" si="29"/>
        <v>122.19326029463527</v>
      </c>
      <c r="S59" s="24">
        <f t="shared" si="30"/>
        <v>11.659651250541392</v>
      </c>
      <c r="T59" s="24">
        <f t="shared" si="31"/>
        <v>1.7651001827384898</v>
      </c>
      <c r="U59" s="24">
        <f t="shared" si="32"/>
        <v>1.705858929320764E-3</v>
      </c>
      <c r="V59" s="24">
        <f t="shared" si="33"/>
        <v>215.68334607547254</v>
      </c>
      <c r="W59" s="24">
        <f t="shared" si="34"/>
        <v>20.581508117259876</v>
      </c>
      <c r="X59" s="24">
        <v>0.99578058690726445</v>
      </c>
      <c r="Y59" s="24">
        <v>5.6137874742129279E-4</v>
      </c>
      <c r="Z59" s="24">
        <f t="shared" si="37"/>
        <v>216.59725938758314</v>
      </c>
      <c r="AA59" s="24">
        <f t="shared" si="38"/>
        <v>20.669078674067521</v>
      </c>
      <c r="AB59" s="24">
        <f t="shared" si="39"/>
        <v>208.27378141467915</v>
      </c>
      <c r="AC59" s="24">
        <f t="shared" si="40"/>
        <v>20.681480507274038</v>
      </c>
      <c r="AD59" s="24">
        <v>37.5</v>
      </c>
      <c r="AE59" s="24">
        <v>2.5</v>
      </c>
      <c r="AF59" s="24">
        <v>21.7</v>
      </c>
      <c r="AG59" s="24">
        <v>5</v>
      </c>
      <c r="AH59" s="24">
        <f t="shared" si="41"/>
        <v>34.360394049254225</v>
      </c>
      <c r="AI59" s="24">
        <f t="shared" si="42"/>
        <v>5.9371710435189584</v>
      </c>
      <c r="AJ59" s="24">
        <v>50</v>
      </c>
      <c r="AK59" s="24">
        <v>25</v>
      </c>
      <c r="AL59" s="24">
        <f t="shared" si="43"/>
        <v>0.53517462591657328</v>
      </c>
      <c r="AM59" s="24">
        <f t="shared" si="44"/>
        <v>0.28311535498222301</v>
      </c>
      <c r="AN59" s="24">
        <f t="shared" si="45"/>
        <v>207.73860678876258</v>
      </c>
      <c r="AO59" s="24">
        <f t="shared" si="46"/>
        <v>20.683418244501627</v>
      </c>
      <c r="AP59" s="24">
        <v>13.6</v>
      </c>
      <c r="AQ59" s="24">
        <v>1</v>
      </c>
      <c r="AS59"/>
      <c r="AT59"/>
      <c r="AU59" s="69">
        <f t="shared" si="49"/>
        <v>207.73860678876258</v>
      </c>
      <c r="AV59" s="24">
        <f t="shared" si="50"/>
        <v>20.683418244501627</v>
      </c>
      <c r="AW59" s="24">
        <f>'Air Content'!H5</f>
        <v>8.3719275402194301E-2</v>
      </c>
      <c r="AX59" s="24">
        <f>'Air Content'!I5</f>
        <v>9.6441995647111455E-4</v>
      </c>
      <c r="AY59" s="24">
        <f t="shared" si="51"/>
        <v>17.391725633416566</v>
      </c>
      <c r="AZ59" s="24">
        <f t="shared" si="52"/>
        <v>1.7431524069262618</v>
      </c>
    </row>
    <row r="60" spans="1:57" customFormat="1" ht="17" thickBot="1">
      <c r="A60" s="5" t="str">
        <f t="shared" si="14"/>
        <v>14CO_UR_DC_FIRN_SAMPLE_2</v>
      </c>
      <c r="B60" s="29">
        <f t="shared" si="15"/>
        <v>0.99046173817579053</v>
      </c>
      <c r="C60" s="29">
        <f t="shared" si="16"/>
        <v>112027.30198198816</v>
      </c>
      <c r="D60" s="29">
        <f t="shared" si="17"/>
        <v>2568.6164298368676</v>
      </c>
      <c r="E60" s="29">
        <f t="shared" si="18"/>
        <v>11633016.401646111</v>
      </c>
      <c r="F60" s="29">
        <f t="shared" si="19"/>
        <v>61657.616658627194</v>
      </c>
      <c r="G60" s="29">
        <f t="shared" si="20"/>
        <v>11745043.703628099</v>
      </c>
      <c r="H60" s="29">
        <f t="shared" si="21"/>
        <v>61711.096914459798</v>
      </c>
      <c r="I60" s="29">
        <f t="shared" si="22"/>
        <v>104.84090481368976</v>
      </c>
      <c r="J60" s="29">
        <f t="shared" si="23"/>
        <v>4850.4311168300692</v>
      </c>
      <c r="K60" s="29">
        <f t="shared" si="24"/>
        <v>25.908379750044769</v>
      </c>
      <c r="L60" s="31">
        <f t="shared" si="35"/>
        <v>177.6247740270698</v>
      </c>
      <c r="M60">
        <f t="shared" si="25"/>
        <v>3.6945054609970542</v>
      </c>
      <c r="N60">
        <f t="shared" si="26"/>
        <v>4804.1664348774502</v>
      </c>
      <c r="O60">
        <f t="shared" si="27"/>
        <v>25.878679063509249</v>
      </c>
      <c r="P60" s="31">
        <f t="shared" si="36"/>
        <v>1.4488898183653949</v>
      </c>
      <c r="Q60">
        <f t="shared" si="28"/>
        <v>0.48682118504932653</v>
      </c>
      <c r="R60">
        <f t="shared" si="29"/>
        <v>176.17588420870442</v>
      </c>
      <c r="S60">
        <f t="shared" si="30"/>
        <v>3.7264413946216686</v>
      </c>
      <c r="T60">
        <f t="shared" si="31"/>
        <v>1.885424585405421</v>
      </c>
      <c r="U60">
        <f t="shared" si="32"/>
        <v>1.8224464233723774E-3</v>
      </c>
      <c r="V60">
        <f t="shared" si="33"/>
        <v>332.16634344262997</v>
      </c>
      <c r="W60">
        <f t="shared" si="34"/>
        <v>7.0332565589395175</v>
      </c>
      <c r="X60">
        <v>0.9970373499506987</v>
      </c>
      <c r="Y60">
        <v>3.9505719024141017E-4</v>
      </c>
      <c r="Z60" s="31">
        <f t="shared" si="37"/>
        <v>333.15336026183456</v>
      </c>
      <c r="AA60" s="31">
        <f t="shared" si="38"/>
        <v>7.0553905688226104</v>
      </c>
      <c r="AB60" s="31">
        <f t="shared" si="39"/>
        <v>324.82988228893061</v>
      </c>
      <c r="AC60" s="31">
        <f t="shared" si="40"/>
        <v>7.0916400653582388</v>
      </c>
      <c r="AD60" s="31">
        <v>37.5</v>
      </c>
      <c r="AE60" s="31">
        <v>2.5</v>
      </c>
      <c r="AF60" s="31">
        <v>21.7</v>
      </c>
      <c r="AG60">
        <v>5</v>
      </c>
      <c r="AH60">
        <f>I28-AF60</f>
        <v>65.528568789428718</v>
      </c>
      <c r="AI60">
        <f>SQRT(J28^2+AG60^2)</f>
        <v>5.3851648071345037</v>
      </c>
      <c r="AJ60">
        <v>50</v>
      </c>
      <c r="AK60">
        <v>25</v>
      </c>
      <c r="AL60">
        <f t="shared" si="43"/>
        <v>1.0206293687569661</v>
      </c>
      <c r="AM60">
        <f t="shared" si="44"/>
        <v>0.51716169353590735</v>
      </c>
      <c r="AN60">
        <f t="shared" si="45"/>
        <v>323.80925292017366</v>
      </c>
      <c r="AO60">
        <f t="shared" si="46"/>
        <v>7.1104722089222125</v>
      </c>
      <c r="AP60">
        <v>0</v>
      </c>
      <c r="AQ60">
        <v>0</v>
      </c>
      <c r="AS60" s="63">
        <f t="shared" si="47"/>
        <v>0</v>
      </c>
      <c r="AT60">
        <f t="shared" si="48"/>
        <v>0</v>
      </c>
      <c r="AU60" s="63">
        <f t="shared" si="49"/>
        <v>323.80925292017366</v>
      </c>
      <c r="AV60">
        <f t="shared" si="50"/>
        <v>7.1104722089222125</v>
      </c>
      <c r="AW60">
        <f>'Air Content'!X24</f>
        <v>8.736516990744321E-2</v>
      </c>
      <c r="AX60">
        <f>'Air Content'!Y24</f>
        <v>1.2936560035483346E-3</v>
      </c>
      <c r="AY60" s="31">
        <f t="shared" si="51"/>
        <v>28.289650398973222</v>
      </c>
      <c r="AZ60" s="31">
        <f t="shared" si="52"/>
        <v>0.74924912512303032</v>
      </c>
      <c r="BA60" s="31">
        <f t="shared" si="53"/>
        <v>2.6484919910859857</v>
      </c>
      <c r="BB60" s="25"/>
    </row>
    <row r="61" spans="1:57" s="31" customFormat="1" ht="17" thickBot="1">
      <c r="A61" s="40" t="str">
        <f t="shared" si="14"/>
        <v>14CO_UR_DC_ICE_SAMPLE_5</v>
      </c>
      <c r="B61" s="29">
        <f t="shared" si="15"/>
        <v>0.98947277424347735</v>
      </c>
      <c r="C61" s="29">
        <f t="shared" si="16"/>
        <v>123472.2555959265</v>
      </c>
      <c r="D61" s="29">
        <f t="shared" si="17"/>
        <v>2848.8467572649497</v>
      </c>
      <c r="E61" s="29">
        <f t="shared" si="18"/>
        <v>11605378.103618857</v>
      </c>
      <c r="F61" s="29">
        <f t="shared" si="19"/>
        <v>62075.276482120018</v>
      </c>
      <c r="G61" s="29">
        <f t="shared" si="20"/>
        <v>11728850.359214783</v>
      </c>
      <c r="H61" s="29">
        <f t="shared" si="21"/>
        <v>62140.613757654675</v>
      </c>
      <c r="I61" s="29">
        <f t="shared" si="22"/>
        <v>94.991788257262002</v>
      </c>
      <c r="J61" s="29">
        <f t="shared" si="23"/>
        <v>4583.6312652576999</v>
      </c>
      <c r="K61" s="29">
        <f t="shared" si="24"/>
        <v>24.681391102822882</v>
      </c>
      <c r="L61" s="31">
        <f t="shared" si="35"/>
        <v>198.75034343458304</v>
      </c>
      <c r="M61" s="31">
        <f t="shared" si="25"/>
        <v>3.723018785473172</v>
      </c>
      <c r="N61" s="31">
        <f t="shared" si="26"/>
        <v>4535.3783441436763</v>
      </c>
      <c r="O61" s="31">
        <f t="shared" si="27"/>
        <v>24.648013702376772</v>
      </c>
      <c r="P61" s="31">
        <f t="shared" si="36"/>
        <v>1.3678259474023207</v>
      </c>
      <c r="Q61" s="31">
        <f t="shared" si="28"/>
        <v>0.45958510352078846</v>
      </c>
      <c r="R61" s="31">
        <f t="shared" si="29"/>
        <v>197.38251748718073</v>
      </c>
      <c r="S61" s="31">
        <f t="shared" si="30"/>
        <v>3.751278094778411</v>
      </c>
      <c r="T61" s="31">
        <f t="shared" si="31"/>
        <v>1.7964318998224427</v>
      </c>
      <c r="U61" s="31">
        <f t="shared" si="32"/>
        <v>1.73700273578699E-3</v>
      </c>
      <c r="V61" s="31">
        <f t="shared" si="33"/>
        <v>354.58425088123261</v>
      </c>
      <c r="W61" s="31">
        <f t="shared" si="34"/>
        <v>6.7476316420281721</v>
      </c>
      <c r="X61" s="31">
        <v>0.99600640351719294</v>
      </c>
      <c r="Y61" s="31">
        <v>5.3018437200014201E-4</v>
      </c>
      <c r="Z61" s="31">
        <f t="shared" si="37"/>
        <v>356.00599517140739</v>
      </c>
      <c r="AA61" s="31">
        <f t="shared" si="38"/>
        <v>6.7773369726673405</v>
      </c>
      <c r="AB61" s="31">
        <f t="shared" si="39"/>
        <v>347.68251719850343</v>
      </c>
      <c r="AC61" s="31">
        <f t="shared" si="40"/>
        <v>6.8150656034294261</v>
      </c>
      <c r="AD61" s="31">
        <v>37.5</v>
      </c>
      <c r="AE61" s="31">
        <v>2.5</v>
      </c>
      <c r="AF61">
        <v>21.7</v>
      </c>
      <c r="AG61">
        <v>5</v>
      </c>
      <c r="AH61">
        <f t="shared" si="41"/>
        <v>27.483086748847942</v>
      </c>
      <c r="AI61">
        <f t="shared" si="42"/>
        <v>5.9371710435189584</v>
      </c>
      <c r="AJ61">
        <v>50</v>
      </c>
      <c r="AK61">
        <v>25</v>
      </c>
      <c r="AL61">
        <f t="shared" si="43"/>
        <v>0.42805826524468121</v>
      </c>
      <c r="AM61">
        <f t="shared" si="44"/>
        <v>0.2331518899377519</v>
      </c>
      <c r="AN61">
        <f t="shared" si="45"/>
        <v>347.25445893325877</v>
      </c>
      <c r="AO61">
        <f t="shared" si="46"/>
        <v>6.8190526455533718</v>
      </c>
      <c r="AP61">
        <v>13.6</v>
      </c>
      <c r="AQ61">
        <v>1</v>
      </c>
      <c r="AR61" s="64">
        <f>'14CO vs depth'!G11</f>
        <v>3399.0277578499999</v>
      </c>
      <c r="AS61" s="63">
        <f t="shared" si="47"/>
        <v>9.0150572118518113</v>
      </c>
      <c r="AT61">
        <f t="shared" si="48"/>
        <v>0.66287185381263314</v>
      </c>
      <c r="AU61" s="63">
        <f t="shared" si="49"/>
        <v>338.23940172140698</v>
      </c>
      <c r="AV61">
        <f t="shared" si="50"/>
        <v>6.8511953758016153</v>
      </c>
      <c r="AW61" s="31">
        <f>'Air Content'!H8</f>
        <v>8.6595431748196117E-2</v>
      </c>
      <c r="AX61" s="31">
        <f>'Air Content'!I8</f>
        <v>2.9448501804309082E-4</v>
      </c>
      <c r="AY61" s="31">
        <f t="shared" si="51"/>
        <v>29.289987026316787</v>
      </c>
      <c r="AZ61" s="31">
        <f t="shared" si="52"/>
        <v>0.60158560203337785</v>
      </c>
      <c r="BA61" s="31">
        <f>AZ61/AY61*100</f>
        <v>2.053895078522427</v>
      </c>
    </row>
    <row r="62" spans="1:57" s="31" customFormat="1" ht="17" thickBot="1">
      <c r="A62" s="40" t="str">
        <f t="shared" si="14"/>
        <v>14CO_UR_DC_WATER_BLANK_5</v>
      </c>
      <c r="B62" s="29">
        <f t="shared" si="15"/>
        <v>0.99541710594653376</v>
      </c>
      <c r="C62" s="29">
        <f t="shared" si="16"/>
        <v>53178.660484584027</v>
      </c>
      <c r="D62" s="29">
        <f t="shared" si="17"/>
        <v>2674.1172876751889</v>
      </c>
      <c r="E62" s="29">
        <f t="shared" si="18"/>
        <v>11550550.307319585</v>
      </c>
      <c r="F62" s="29">
        <f t="shared" si="19"/>
        <v>61465.900080120147</v>
      </c>
      <c r="G62" s="29">
        <f t="shared" si="20"/>
        <v>11603728.967804169</v>
      </c>
      <c r="H62" s="29">
        <f t="shared" si="21"/>
        <v>61524.042259327834</v>
      </c>
      <c r="I62" s="29">
        <f t="shared" si="22"/>
        <v>218.20273136003448</v>
      </c>
      <c r="J62" s="29">
        <f t="shared" si="23"/>
        <v>4705.2151600626839</v>
      </c>
      <c r="K62" s="29">
        <f t="shared" si="24"/>
        <v>25.354838067609958</v>
      </c>
      <c r="L62" s="31">
        <f t="shared" si="35"/>
        <v>5.6571736967715669</v>
      </c>
      <c r="M62" s="31">
        <f t="shared" si="25"/>
        <v>0.22129569764361567</v>
      </c>
      <c r="N62" s="31">
        <f t="shared" si="26"/>
        <v>4683.6516574853522</v>
      </c>
      <c r="O62" s="31">
        <f t="shared" si="27"/>
        <v>25.327942141668544</v>
      </c>
      <c r="P62" s="31">
        <f t="shared" si="36"/>
        <v>1.4125437349619718</v>
      </c>
      <c r="Q62" s="31">
        <f t="shared" si="28"/>
        <v>0.47460952327593725</v>
      </c>
      <c r="R62" s="31">
        <f t="shared" si="29"/>
        <v>4.2446299618095953</v>
      </c>
      <c r="S62" s="31">
        <f t="shared" si="30"/>
        <v>0.52366591007987806</v>
      </c>
      <c r="T62" s="31">
        <f t="shared" si="31"/>
        <v>1.8444568152316667</v>
      </c>
      <c r="U62" s="31">
        <f t="shared" si="32"/>
        <v>1.7840293270106359E-3</v>
      </c>
      <c r="V62" s="31">
        <f t="shared" si="33"/>
        <v>7.8290366611962376</v>
      </c>
      <c r="W62" s="31">
        <f t="shared" si="34"/>
        <v>0.96590884087181972</v>
      </c>
      <c r="X62" s="31">
        <v>0.99685081580453672</v>
      </c>
      <c r="Y62" s="31">
        <v>4.1864372501387859E-4</v>
      </c>
      <c r="Z62" s="31">
        <f t="shared" si="37"/>
        <v>7.8537696283847565</v>
      </c>
      <c r="AA62" s="31">
        <f t="shared" si="38"/>
        <v>0.96896588894020785</v>
      </c>
      <c r="AH62"/>
      <c r="AI62"/>
      <c r="AJ62"/>
      <c r="AK62"/>
      <c r="AL62"/>
      <c r="AM62"/>
      <c r="AN62"/>
      <c r="AO62"/>
      <c r="AP62"/>
      <c r="AQ62"/>
      <c r="AS62"/>
      <c r="AT62"/>
      <c r="AU62" s="63"/>
      <c r="AV62"/>
      <c r="AY62"/>
      <c r="AZ62"/>
    </row>
    <row r="63" spans="1:57" s="31" customFormat="1" ht="17" thickBot="1">
      <c r="A63" s="40" t="str">
        <f t="shared" si="14"/>
        <v>14CO_UR_DC_ICE_SAMPLE_14</v>
      </c>
      <c r="B63" s="29">
        <f t="shared" si="15"/>
        <v>0.98670100668322003</v>
      </c>
      <c r="C63" s="29">
        <f t="shared" si="16"/>
        <v>155901.76050905607</v>
      </c>
      <c r="D63" s="29">
        <f t="shared" si="17"/>
        <v>3260.4072737143283</v>
      </c>
      <c r="E63" s="29">
        <f t="shared" si="18"/>
        <v>11566922.425916232</v>
      </c>
      <c r="F63" s="29">
        <f t="shared" si="19"/>
        <v>62735.538013226738</v>
      </c>
      <c r="G63" s="29">
        <f t="shared" si="20"/>
        <v>11722824.186425289</v>
      </c>
      <c r="H63" s="29">
        <f t="shared" si="21"/>
        <v>62820.20364022634</v>
      </c>
      <c r="I63" s="29">
        <f t="shared" si="22"/>
        <v>75.193661368207131</v>
      </c>
      <c r="J63" s="29">
        <f t="shared" si="23"/>
        <v>4246.0593986800895</v>
      </c>
      <c r="K63" s="29">
        <f t="shared" si="24"/>
        <v>23.116808412868632</v>
      </c>
      <c r="L63" s="31">
        <f t="shared" si="35"/>
        <v>200.28748958376278</v>
      </c>
      <c r="M63" s="31">
        <f t="shared" si="25"/>
        <v>4.5935545742024289</v>
      </c>
      <c r="N63" s="31">
        <f t="shared" si="26"/>
        <v>4189.5910831143919</v>
      </c>
      <c r="O63" s="31">
        <f t="shared" si="27"/>
        <v>23.077093130766283</v>
      </c>
      <c r="P63" s="31">
        <f t="shared" si="36"/>
        <v>1.2635398764226489</v>
      </c>
      <c r="Q63" s="31">
        <f t="shared" si="28"/>
        <v>0.42454683435553958</v>
      </c>
      <c r="R63" s="31">
        <f t="shared" si="29"/>
        <v>199.02394970734014</v>
      </c>
      <c r="S63" s="31">
        <f t="shared" si="30"/>
        <v>4.6131316522225294</v>
      </c>
      <c r="T63" s="31">
        <f t="shared" si="31"/>
        <v>1.6935939504695843</v>
      </c>
      <c r="U63" s="31">
        <f t="shared" si="32"/>
        <v>1.6364825963180625E-3</v>
      </c>
      <c r="V63" s="31">
        <f t="shared" si="33"/>
        <v>337.06575722291404</v>
      </c>
      <c r="W63" s="31">
        <f t="shared" si="34"/>
        <v>7.8195577949126989</v>
      </c>
      <c r="X63" s="31">
        <v>0.99566420195320493</v>
      </c>
      <c r="Y63" s="31">
        <v>5.7431384881551084E-4</v>
      </c>
      <c r="Z63" s="31">
        <f t="shared" si="37"/>
        <v>338.5335704162996</v>
      </c>
      <c r="AA63" s="31">
        <f t="shared" si="38"/>
        <v>7.8560366835504727</v>
      </c>
      <c r="AB63" s="31">
        <f t="shared" si="39"/>
        <v>330.21009244339564</v>
      </c>
      <c r="AC63" s="31">
        <f t="shared" si="40"/>
        <v>7.8886079324082194</v>
      </c>
      <c r="AD63" s="31">
        <v>37.5</v>
      </c>
      <c r="AE63" s="31">
        <v>2.5</v>
      </c>
      <c r="AF63">
        <v>36.200000000000003</v>
      </c>
      <c r="AG63">
        <v>5</v>
      </c>
      <c r="AH63">
        <f t="shared" si="41"/>
        <v>21.93439763527212</v>
      </c>
      <c r="AI63">
        <f t="shared" si="42"/>
        <v>5.9371710435189584</v>
      </c>
      <c r="AJ63">
        <v>50</v>
      </c>
      <c r="AK63">
        <v>25</v>
      </c>
      <c r="AL63">
        <f t="shared" si="43"/>
        <v>0.34163557706396303</v>
      </c>
      <c r="AM63">
        <f t="shared" si="44"/>
        <v>0.19424224836381726</v>
      </c>
      <c r="AN63">
        <f t="shared" si="45"/>
        <v>329.86845686633166</v>
      </c>
      <c r="AO63">
        <f t="shared" si="46"/>
        <v>7.8909989964708087</v>
      </c>
      <c r="AP63">
        <v>13.6</v>
      </c>
      <c r="AQ63">
        <v>1</v>
      </c>
      <c r="AR63" s="64">
        <f>'14CO vs depth'!G21</f>
        <v>2782.5433224533299</v>
      </c>
      <c r="AS63" s="63">
        <f t="shared" si="47"/>
        <v>9.7130572844443108</v>
      </c>
      <c r="AT63">
        <f t="shared" si="48"/>
        <v>0.71419538856208165</v>
      </c>
      <c r="AU63" s="63">
        <f t="shared" si="49"/>
        <v>320.15539958188737</v>
      </c>
      <c r="AV63">
        <f t="shared" si="50"/>
        <v>7.9232531333630032</v>
      </c>
      <c r="AW63" s="31">
        <f>'Air Content'!H17</f>
        <v>8.5930271594784974E-2</v>
      </c>
      <c r="AX63" s="31">
        <f>'Air Content'!I17</f>
        <v>3.4471077633150778E-4</v>
      </c>
      <c r="AY63" s="31">
        <f t="shared" si="51"/>
        <v>27.511040438608489</v>
      </c>
      <c r="AZ63" s="31">
        <f t="shared" si="52"/>
        <v>0.68973371036697539</v>
      </c>
      <c r="BA63" s="31">
        <f t="shared" si="53"/>
        <v>2.5071160500313749</v>
      </c>
    </row>
    <row r="64" spans="1:57" s="31" customFormat="1" ht="17" thickBot="1">
      <c r="A64" s="40" t="str">
        <f t="shared" ref="A64:A65" si="54">A32</f>
        <v>DRY INJ EXT BLK</v>
      </c>
      <c r="B64" s="29">
        <f t="shared" si="15"/>
        <v>0.9974613428707898</v>
      </c>
      <c r="C64" s="29">
        <f t="shared" si="16"/>
        <v>23067.637393305511</v>
      </c>
      <c r="D64" s="29">
        <f t="shared" si="17"/>
        <v>3786.6367026234439</v>
      </c>
      <c r="E64" s="29">
        <f t="shared" si="18"/>
        <v>9063483.3300000075</v>
      </c>
      <c r="F64" s="29">
        <f t="shared" si="19"/>
        <v>125109.78399594087</v>
      </c>
      <c r="G64" s="29">
        <f t="shared" ref="G64:G65" si="55">C64+E64</f>
        <v>9086550.9673933126</v>
      </c>
      <c r="H64" s="29">
        <f t="shared" ref="H64:H65" si="56">SQRT(D64^2+F64^2)</f>
        <v>125167.0750198655</v>
      </c>
      <c r="I64" s="29">
        <f t="shared" ref="I64:I65" si="57">(C64+E64)/C64</f>
        <v>393.90904289272089</v>
      </c>
      <c r="J64" s="29">
        <f t="shared" si="23"/>
        <v>3269.3796749432358</v>
      </c>
      <c r="K64" s="29">
        <f t="shared" si="24"/>
        <v>47.001877074593757</v>
      </c>
      <c r="L64" s="31">
        <f t="shared" si="35"/>
        <v>5.5422484281112405</v>
      </c>
      <c r="M64" s="31">
        <f t="shared" si="25"/>
        <v>0.198931056674686</v>
      </c>
      <c r="N64" s="31">
        <f t="shared" si="26"/>
        <v>3261.0798409233457</v>
      </c>
      <c r="O64" s="31">
        <f t="shared" si="27"/>
        <v>46.972359145616714</v>
      </c>
      <c r="P64" s="31">
        <f t="shared" si="36"/>
        <v>0.98350992673529358</v>
      </c>
      <c r="Q64" s="31">
        <f t="shared" si="28"/>
        <v>0.33071648349167859</v>
      </c>
      <c r="R64" s="31">
        <f t="shared" ref="R64:R65" si="58">L64-P64</f>
        <v>4.5587385013759469</v>
      </c>
      <c r="S64" s="31">
        <f t="shared" ref="S64:S65" si="59">SQRT(M64^2+Q64^2)</f>
        <v>0.38593646855772629</v>
      </c>
      <c r="T64" s="31">
        <f t="shared" si="31"/>
        <v>1.4679462192827621</v>
      </c>
      <c r="U64" s="31">
        <f t="shared" si="32"/>
        <v>6.0418893273929495E-3</v>
      </c>
      <c r="V64" s="31">
        <f t="shared" ref="V64:V65" si="60">R64*T64</f>
        <v>6.6919829477935862</v>
      </c>
      <c r="W64" s="31">
        <f t="shared" ref="W64:W65" si="61">V64*SQRT((U64/T64)^2+(S64/R64)^2)</f>
        <v>0.56720312843788034</v>
      </c>
      <c r="AB64"/>
      <c r="AC64"/>
      <c r="AD64"/>
      <c r="AE64"/>
      <c r="AF64"/>
      <c r="AG64"/>
      <c r="AH64"/>
      <c r="AI64"/>
      <c r="AJ64"/>
      <c r="AK64"/>
      <c r="AL64"/>
      <c r="AM64"/>
      <c r="AN64"/>
      <c r="AO64"/>
      <c r="AP64"/>
      <c r="AQ64"/>
      <c r="AR64"/>
      <c r="AS64"/>
      <c r="AT64"/>
      <c r="AU64"/>
      <c r="AV64"/>
    </row>
    <row r="65" spans="1:53" s="31" customFormat="1" ht="16">
      <c r="A65" s="40" t="str">
        <f t="shared" si="54"/>
        <v>HOT-DRY BLK</v>
      </c>
      <c r="B65" s="29">
        <f t="shared" si="15"/>
        <v>0.96726466177069026</v>
      </c>
      <c r="C65" s="29">
        <f t="shared" si="16"/>
        <v>283450.67174413806</v>
      </c>
      <c r="D65" s="29">
        <f t="shared" si="17"/>
        <v>3961.3894105196377</v>
      </c>
      <c r="E65" s="29">
        <f t="shared" si="18"/>
        <v>8375408.1357799591</v>
      </c>
      <c r="F65" s="29">
        <f t="shared" si="19"/>
        <v>217743.48707941448</v>
      </c>
      <c r="G65" s="29">
        <f t="shared" si="55"/>
        <v>8658858.8075240981</v>
      </c>
      <c r="H65" s="29">
        <f t="shared" si="56"/>
        <v>217779.51871460484</v>
      </c>
      <c r="I65" s="29">
        <f t="shared" si="57"/>
        <v>30.548027119654087</v>
      </c>
      <c r="J65" s="29">
        <f t="shared" si="23"/>
        <v>3093.1626887375687</v>
      </c>
      <c r="K65" s="29">
        <f t="shared" si="24"/>
        <v>81.15296818538036</v>
      </c>
      <c r="L65" s="31">
        <f t="shared" si="35"/>
        <v>8.120013745637678</v>
      </c>
      <c r="M65" s="31">
        <f t="shared" si="25"/>
        <v>0.31283561173090813</v>
      </c>
      <c r="N65" s="31">
        <f t="shared" si="26"/>
        <v>2991.9069619234633</v>
      </c>
      <c r="O65" s="31">
        <f t="shared" si="27"/>
        <v>80.928626500754461</v>
      </c>
      <c r="P65" s="31">
        <f t="shared" si="36"/>
        <v>0.90233000737786218</v>
      </c>
      <c r="Q65" s="31">
        <f t="shared" si="28"/>
        <v>0.30412129570743096</v>
      </c>
      <c r="R65" s="31">
        <f t="shared" si="58"/>
        <v>7.217683738259816</v>
      </c>
      <c r="S65" s="31">
        <f t="shared" si="59"/>
        <v>0.4362979285646657</v>
      </c>
      <c r="T65" s="31">
        <f t="shared" si="31"/>
        <v>1.4133556927472899</v>
      </c>
      <c r="U65" s="31">
        <f t="shared" si="32"/>
        <v>1.0555258992829011E-2</v>
      </c>
      <c r="V65" s="31">
        <f t="shared" si="60"/>
        <v>10.201154399919051</v>
      </c>
      <c r="W65" s="31">
        <f t="shared" si="61"/>
        <v>0.62133252180366483</v>
      </c>
      <c r="AB65" s="31">
        <f>AVERAGE(AB43:AB63)</f>
        <v>309.27843170619462</v>
      </c>
      <c r="AC65"/>
      <c r="AL65" s="31">
        <f>AVERAGE(AL43:AL63)</f>
        <v>0.72245798080105939</v>
      </c>
      <c r="AZ65" s="31" t="s">
        <v>255</v>
      </c>
      <c r="BA65" s="31">
        <f>AVERAGE(BA43:BA63)</f>
        <v>2.5573031048991899</v>
      </c>
    </row>
    <row r="66" spans="1:53" customFormat="1" ht="16"/>
    <row r="67" spans="1:53" customFormat="1" ht="16">
      <c r="R67" s="25"/>
      <c r="S67" s="25"/>
      <c r="T67" s="25"/>
      <c r="U67" s="25"/>
      <c r="V67" t="s">
        <v>91</v>
      </c>
      <c r="X67" s="29"/>
      <c r="Y67" s="29"/>
      <c r="Z67" s="29">
        <f>AVERAGE(Z47,Z51,Z57,Z62)</f>
        <v>8.3234779729039801</v>
      </c>
    </row>
    <row r="68" spans="1:53" customFormat="1" ht="16">
      <c r="R68" s="25"/>
      <c r="S68" s="25"/>
      <c r="T68" s="25"/>
      <c r="U68" s="25"/>
      <c r="V68" t="s">
        <v>92</v>
      </c>
      <c r="Z68">
        <f>STDEV(Z47,Z51,Z57,Z62)</f>
        <v>0.7161164276590587</v>
      </c>
    </row>
    <row r="69" spans="1:53" s="29" customFormat="1" ht="16">
      <c r="J69" t="s">
        <v>57</v>
      </c>
      <c r="L69">
        <v>1.20968E-4</v>
      </c>
      <c r="S69"/>
      <c r="T69"/>
      <c r="U69"/>
      <c r="V69"/>
    </row>
    <row r="70" spans="1:53" s="27" customFormat="1" ht="16">
      <c r="S70"/>
      <c r="T70"/>
      <c r="W70" s="27" t="s">
        <v>203</v>
      </c>
      <c r="Z70" s="27">
        <f>AVERAGE(AB44,AB48,AB52:AB54,AB56,AB61)</f>
        <v>324.37225644607668</v>
      </c>
    </row>
    <row r="71" spans="1:53" s="27" customFormat="1" ht="16">
      <c r="S71"/>
      <c r="T71"/>
      <c r="U71"/>
      <c r="V71"/>
    </row>
    <row r="72" spans="1:53" s="27" customFormat="1" ht="16">
      <c r="S72"/>
      <c r="T72"/>
      <c r="U72"/>
      <c r="V72"/>
    </row>
    <row r="73" spans="1:53" s="27" customFormat="1"/>
    <row r="74" spans="1:53" s="27" customFormat="1"/>
  </sheetData>
  <pageMargins left="0.75" right="0.75" top="1" bottom="1" header="0.5" footer="0.5"/>
  <pageSetup orientation="portrait" horizontalDpi="4294967292" verticalDpi="429496729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3B233-2F4D-9B4F-A0A3-F08A4F880E50}">
  <dimension ref="A1:F22"/>
  <sheetViews>
    <sheetView zoomScale="150" zoomScaleNormal="150" workbookViewId="0">
      <selection activeCell="D19" sqref="D19"/>
    </sheetView>
  </sheetViews>
  <sheetFormatPr baseColWidth="10" defaultRowHeight="16"/>
  <cols>
    <col min="1" max="1" width="19.33203125" customWidth="1"/>
    <col min="2" max="2" width="13.6640625" customWidth="1"/>
  </cols>
  <sheetData>
    <row r="1" spans="1:6" s="61" customFormat="1" ht="85">
      <c r="A1" s="61" t="s">
        <v>205</v>
      </c>
      <c r="B1" s="61" t="s">
        <v>206</v>
      </c>
      <c r="C1" s="61" t="s">
        <v>207</v>
      </c>
      <c r="D1" s="61" t="s">
        <v>208</v>
      </c>
      <c r="E1" s="61" t="s">
        <v>211</v>
      </c>
      <c r="F1" s="61" t="s">
        <v>1</v>
      </c>
    </row>
    <row r="2" spans="1:6" ht="17">
      <c r="A2" s="6" t="s">
        <v>212</v>
      </c>
      <c r="B2" s="62">
        <v>45618</v>
      </c>
      <c r="C2" s="63">
        <v>14.640725806451613</v>
      </c>
      <c r="D2" s="63">
        <v>19.314382438620893</v>
      </c>
      <c r="E2" s="63">
        <v>9.1892264494327414</v>
      </c>
      <c r="F2" s="63">
        <v>1.2314104298280593</v>
      </c>
    </row>
    <row r="3" spans="1:6">
      <c r="A3" t="s">
        <v>213</v>
      </c>
      <c r="B3" s="62">
        <v>45631</v>
      </c>
      <c r="C3" s="63">
        <v>17.167289719626172</v>
      </c>
      <c r="D3" s="63">
        <v>24.04864915025043</v>
      </c>
      <c r="E3" s="63">
        <v>7.6297503930692177</v>
      </c>
      <c r="F3" s="63">
        <v>1.1031000871287031</v>
      </c>
    </row>
    <row r="4" spans="1:6">
      <c r="A4" t="s">
        <v>214</v>
      </c>
      <c r="B4" s="62">
        <v>45647</v>
      </c>
      <c r="C4" s="63">
        <v>37.899698800000003</v>
      </c>
      <c r="D4" s="63">
        <v>42.602174768437429</v>
      </c>
      <c r="E4" s="63">
        <v>8.6124664491910945</v>
      </c>
      <c r="F4" s="63">
        <v>1.006039180405466</v>
      </c>
    </row>
    <row r="5" spans="1:6">
      <c r="A5" t="s">
        <v>215</v>
      </c>
      <c r="B5" s="62">
        <v>45649</v>
      </c>
      <c r="C5" s="63">
        <v>35.299605261379156</v>
      </c>
      <c r="D5" s="63">
        <v>39.772949289023067</v>
      </c>
      <c r="E5" s="63">
        <v>7.8510841198778731</v>
      </c>
      <c r="F5" s="63">
        <v>0.96926002403188605</v>
      </c>
    </row>
    <row r="6" spans="1:6">
      <c r="B6" s="62"/>
      <c r="C6" s="63"/>
      <c r="D6" s="63"/>
      <c r="E6" s="63"/>
      <c r="F6" s="63"/>
    </row>
    <row r="7" spans="1:6">
      <c r="A7" t="s">
        <v>245</v>
      </c>
      <c r="B7" s="62"/>
      <c r="C7" s="63">
        <f>AVERAGE(C2:C3)</f>
        <v>15.904007763038893</v>
      </c>
      <c r="D7" s="63">
        <f>AVERAGE(D2:D3)</f>
        <v>21.681515794435661</v>
      </c>
      <c r="E7" s="63"/>
      <c r="F7" s="63"/>
    </row>
    <row r="8" spans="1:6">
      <c r="A8" t="s">
        <v>246</v>
      </c>
      <c r="B8" s="62"/>
      <c r="C8" s="63">
        <f>AVERAGE(C4:C5)</f>
        <v>36.599652030689583</v>
      </c>
      <c r="D8" s="63">
        <f>AVERAGE(D4:D5)</f>
        <v>41.187562028730248</v>
      </c>
      <c r="E8" s="63"/>
      <c r="F8" s="63"/>
    </row>
    <row r="10" spans="1:6">
      <c r="A10" t="s">
        <v>216</v>
      </c>
    </row>
    <row r="11" spans="1:6">
      <c r="A11" t="s">
        <v>227</v>
      </c>
    </row>
    <row r="12" spans="1:6">
      <c r="A12" t="s">
        <v>217</v>
      </c>
    </row>
    <row r="13" spans="1:6">
      <c r="A13" t="s">
        <v>218</v>
      </c>
    </row>
    <row r="14" spans="1:6">
      <c r="A14" t="s">
        <v>219</v>
      </c>
    </row>
    <row r="15" spans="1:6">
      <c r="A15" t="s">
        <v>226</v>
      </c>
    </row>
    <row r="17" spans="1:5">
      <c r="A17" t="s">
        <v>222</v>
      </c>
      <c r="D17" s="63">
        <f>AVERAGE(D4:D5)-AVERAGE(D2:D3)</f>
        <v>19.506046234294587</v>
      </c>
      <c r="E17" t="s">
        <v>220</v>
      </c>
    </row>
    <row r="18" spans="1:5">
      <c r="A18" t="s">
        <v>223</v>
      </c>
      <c r="D18">
        <v>100</v>
      </c>
      <c r="E18" t="s">
        <v>221</v>
      </c>
    </row>
    <row r="19" spans="1:5">
      <c r="A19" t="s">
        <v>224</v>
      </c>
      <c r="D19">
        <f>D18/100*1.1694*10^-12*D17/10^9/1000/22.4*6.02*10^23</f>
        <v>0.61302870628407247</v>
      </c>
      <c r="E19" t="s">
        <v>225</v>
      </c>
    </row>
    <row r="21" spans="1:5">
      <c r="A21" t="s">
        <v>228</v>
      </c>
    </row>
    <row r="22" spans="1:5">
      <c r="A22" t="s">
        <v>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198F-599D-474D-B9B3-37F7630590EB}">
  <dimension ref="A1:E21"/>
  <sheetViews>
    <sheetView zoomScale="150" zoomScaleNormal="150" workbookViewId="0">
      <selection activeCell="A22" sqref="A22"/>
    </sheetView>
  </sheetViews>
  <sheetFormatPr baseColWidth="10" defaultRowHeight="16"/>
  <cols>
    <col min="1" max="1" width="19" customWidth="1"/>
  </cols>
  <sheetData>
    <row r="1" spans="1:5">
      <c r="A1" t="s">
        <v>230</v>
      </c>
    </row>
    <row r="3" spans="1:5" s="6" customFormat="1" ht="51">
      <c r="B3" s="6" t="s">
        <v>231</v>
      </c>
      <c r="C3" s="6" t="s">
        <v>232</v>
      </c>
      <c r="D3" s="6" t="s">
        <v>233</v>
      </c>
      <c r="E3" s="6" t="s">
        <v>1</v>
      </c>
    </row>
    <row r="4" spans="1:5">
      <c r="A4" t="s">
        <v>89</v>
      </c>
      <c r="B4">
        <v>4.8239528795811513</v>
      </c>
      <c r="C4">
        <v>12.183709970171684</v>
      </c>
      <c r="D4">
        <v>6.6896946992219357</v>
      </c>
      <c r="E4">
        <v>0.56763810761683064</v>
      </c>
    </row>
    <row r="5" spans="1:5">
      <c r="A5" t="s">
        <v>90</v>
      </c>
      <c r="B5">
        <v>141.28821989528794</v>
      </c>
      <c r="C5">
        <v>143.11035791597988</v>
      </c>
      <c r="D5">
        <v>10.197666229496784</v>
      </c>
      <c r="E5">
        <v>0.62217486838507052</v>
      </c>
    </row>
    <row r="7" spans="1:5">
      <c r="A7" t="s">
        <v>234</v>
      </c>
      <c r="D7">
        <f>C5-C4</f>
        <v>130.92664794580818</v>
      </c>
      <c r="E7" t="s">
        <v>220</v>
      </c>
    </row>
    <row r="8" spans="1:5">
      <c r="A8" t="s">
        <v>235</v>
      </c>
      <c r="D8">
        <f>D5-D4</f>
        <v>3.5079715302748484</v>
      </c>
      <c r="E8" t="s">
        <v>225</v>
      </c>
    </row>
    <row r="9" spans="1:5">
      <c r="A9" t="s">
        <v>1</v>
      </c>
      <c r="D9">
        <f>SQRT(E4^2+E5^2)</f>
        <v>0.84220816195807346</v>
      </c>
    </row>
    <row r="10" spans="1:5">
      <c r="A10" t="s">
        <v>237</v>
      </c>
      <c r="D10">
        <v>-25</v>
      </c>
      <c r="E10" t="s">
        <v>238</v>
      </c>
    </row>
    <row r="11" spans="1:5">
      <c r="A11" t="s">
        <v>57</v>
      </c>
      <c r="D11">
        <v>1.20968E-4</v>
      </c>
      <c r="E11" t="s">
        <v>239</v>
      </c>
    </row>
    <row r="13" spans="1:5">
      <c r="A13" t="s">
        <v>236</v>
      </c>
      <c r="D13">
        <f>D8*100/(EXP(-D11*76)*(1+D10/1000)^2/0.975^2*1.1694*10^-12*D7*10^-9/22400*6.02*10^23)</f>
        <v>86.041736059649551</v>
      </c>
      <c r="E13" t="s">
        <v>221</v>
      </c>
    </row>
    <row r="14" spans="1:5">
      <c r="A14" t="s">
        <v>1</v>
      </c>
      <c r="D14">
        <f>D13*D9/D8</f>
        <v>20.657252133628784</v>
      </c>
      <c r="E14" t="s">
        <v>221</v>
      </c>
    </row>
    <row r="16" spans="1:5">
      <c r="A16" t="s">
        <v>240</v>
      </c>
      <c r="D16" t="s">
        <v>241</v>
      </c>
    </row>
    <row r="18" spans="1:1">
      <c r="A18" t="s">
        <v>242</v>
      </c>
    </row>
    <row r="20" spans="1:1">
      <c r="A20" t="s">
        <v>253</v>
      </c>
    </row>
    <row r="21" spans="1:1">
      <c r="A21" t="s">
        <v>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6E45-0215-B84B-A92D-0017D2ADEBFB}">
  <dimension ref="A1:AM50"/>
  <sheetViews>
    <sheetView topLeftCell="A3" zoomScale="140" zoomScaleNormal="140" workbookViewId="0">
      <pane xSplit="5440" ySplit="2040" activePane="bottomRight"/>
      <selection activeCell="X23" sqref="X23:Y23"/>
      <selection pane="topRight" activeCell="A4" sqref="A4:F17"/>
      <selection pane="bottomLeft" activeCell="A47" sqref="A47:XFD53"/>
      <selection pane="bottomRight" activeCell="A22" sqref="A22"/>
    </sheetView>
  </sheetViews>
  <sheetFormatPr baseColWidth="10" defaultRowHeight="16"/>
  <cols>
    <col min="1" max="1" width="28.33203125" customWidth="1"/>
  </cols>
  <sheetData>
    <row r="1" spans="1:39">
      <c r="A1" s="53" t="s">
        <v>111</v>
      </c>
      <c r="H1" t="s">
        <v>258</v>
      </c>
      <c r="N1" t="s">
        <v>259</v>
      </c>
    </row>
    <row r="3" spans="1:39" s="6" customFormat="1" ht="51">
      <c r="A3" s="6" t="s">
        <v>112</v>
      </c>
      <c r="B3" s="6" t="s">
        <v>114</v>
      </c>
      <c r="C3" s="6" t="s">
        <v>163</v>
      </c>
      <c r="D3" s="6" t="s">
        <v>115</v>
      </c>
      <c r="E3" s="6" t="s">
        <v>113</v>
      </c>
      <c r="F3" s="6" t="s">
        <v>1</v>
      </c>
      <c r="H3" s="6" t="s">
        <v>113</v>
      </c>
      <c r="I3" s="6" t="s">
        <v>1</v>
      </c>
      <c r="N3" s="6" t="s">
        <v>260</v>
      </c>
      <c r="O3" s="6" t="s">
        <v>1</v>
      </c>
      <c r="P3" s="6" t="s">
        <v>261</v>
      </c>
      <c r="Q3" s="6" t="s">
        <v>1</v>
      </c>
      <c r="R3"/>
      <c r="AA3"/>
      <c r="AB3"/>
      <c r="AC3"/>
      <c r="AD3"/>
      <c r="AE3"/>
      <c r="AF3"/>
      <c r="AG3"/>
      <c r="AH3"/>
      <c r="AI3"/>
      <c r="AJ3"/>
      <c r="AK3"/>
      <c r="AL3"/>
      <c r="AM3"/>
    </row>
    <row r="4" spans="1:39">
      <c r="A4" t="s">
        <v>43</v>
      </c>
      <c r="B4">
        <v>100</v>
      </c>
      <c r="C4">
        <f>AVERAGE(B4,D4)</f>
        <v>110</v>
      </c>
      <c r="D4">
        <v>120</v>
      </c>
      <c r="E4">
        <v>7.4746823265359294E-2</v>
      </c>
      <c r="F4">
        <v>2.9548739610009605E-3</v>
      </c>
      <c r="H4">
        <f>P4</f>
        <v>8.122100101539545E-2</v>
      </c>
      <c r="I4">
        <f>Q4</f>
        <v>3.3008869212777891E-3</v>
      </c>
      <c r="N4">
        <v>0.45600000000000002</v>
      </c>
      <c r="O4">
        <f>N4*0.2</f>
        <v>9.1200000000000003E-2</v>
      </c>
      <c r="P4">
        <f>AA$40*(1-N4)+X26*N4</f>
        <v>8.122100101539545E-2</v>
      </c>
      <c r="Q4">
        <f>AA$42</f>
        <v>3.3008869212777891E-3</v>
      </c>
    </row>
    <row r="5" spans="1:39">
      <c r="A5" t="s">
        <v>50</v>
      </c>
      <c r="B5">
        <v>120</v>
      </c>
      <c r="C5">
        <f t="shared" ref="C5:C17" si="0">AVERAGE(B5,D5)</f>
        <v>130</v>
      </c>
      <c r="D5">
        <v>140</v>
      </c>
      <c r="E5">
        <v>8.4104330759438212E-2</v>
      </c>
      <c r="F5">
        <v>9.6441995647111455E-4</v>
      </c>
      <c r="H5">
        <f t="shared" ref="H5:H6" si="1">P5</f>
        <v>8.3719275402194301E-2</v>
      </c>
      <c r="I5">
        <f t="shared" ref="I5:I6" si="2">Q5</f>
        <v>9.6441995647111455E-4</v>
      </c>
      <c r="N5">
        <v>0.23</v>
      </c>
      <c r="O5">
        <f>N5*0.2</f>
        <v>4.6000000000000006E-2</v>
      </c>
      <c r="P5">
        <f>E5*(1-N5)+X27*N5</f>
        <v>8.3719275402194301E-2</v>
      </c>
      <c r="Q5">
        <f>F5</f>
        <v>9.6441995647111455E-4</v>
      </c>
    </row>
    <row r="6" spans="1:39">
      <c r="A6" t="s">
        <v>45</v>
      </c>
      <c r="B6">
        <v>140</v>
      </c>
      <c r="C6">
        <f t="shared" si="0"/>
        <v>150</v>
      </c>
      <c r="D6">
        <v>160</v>
      </c>
      <c r="E6">
        <v>8.5201943725093668E-2</v>
      </c>
      <c r="F6">
        <v>3.9820107051383006E-4</v>
      </c>
      <c r="H6">
        <f t="shared" si="1"/>
        <v>8.5054917213879352E-2</v>
      </c>
      <c r="I6">
        <f t="shared" si="2"/>
        <v>3.9820107051383006E-4</v>
      </c>
      <c r="N6">
        <v>0.11</v>
      </c>
      <c r="O6">
        <f>N6*0.2</f>
        <v>2.2000000000000002E-2</v>
      </c>
      <c r="P6">
        <f>E6*(1-N6)+X28*N6</f>
        <v>8.5054917213879352E-2</v>
      </c>
      <c r="Q6">
        <f>F6</f>
        <v>3.9820107051383006E-4</v>
      </c>
    </row>
    <row r="7" spans="1:39">
      <c r="A7" t="s">
        <v>47</v>
      </c>
      <c r="B7">
        <v>160</v>
      </c>
      <c r="C7">
        <f t="shared" si="0"/>
        <v>170</v>
      </c>
      <c r="D7">
        <v>180</v>
      </c>
      <c r="E7">
        <v>8.5930271594784974E-2</v>
      </c>
      <c r="F7">
        <v>3.4471077633150778E-4</v>
      </c>
      <c r="H7">
        <f t="shared" ref="H7:H12" si="3">E7</f>
        <v>8.5930271594784974E-2</v>
      </c>
      <c r="I7">
        <f t="shared" ref="I7:I12" si="4">F7</f>
        <v>3.4471077633150778E-4</v>
      </c>
    </row>
    <row r="8" spans="1:39">
      <c r="A8" t="s">
        <v>52</v>
      </c>
      <c r="B8">
        <v>180</v>
      </c>
      <c r="C8">
        <f t="shared" si="0"/>
        <v>190.5</v>
      </c>
      <c r="D8">
        <v>201</v>
      </c>
      <c r="E8">
        <v>8.6595431748196117E-2</v>
      </c>
      <c r="F8">
        <v>2.9448501804309082E-4</v>
      </c>
      <c r="H8">
        <f t="shared" si="3"/>
        <v>8.6595431748196117E-2</v>
      </c>
      <c r="I8">
        <f t="shared" si="4"/>
        <v>2.9448501804309082E-4</v>
      </c>
    </row>
    <row r="9" spans="1:39">
      <c r="A9" t="s">
        <v>35</v>
      </c>
      <c r="B9">
        <v>201</v>
      </c>
      <c r="C9">
        <f t="shared" si="0"/>
        <v>211</v>
      </c>
      <c r="D9">
        <v>221</v>
      </c>
      <c r="E9">
        <v>8.7660152270443353E-2</v>
      </c>
      <c r="F9">
        <v>7.9321554684705213E-4</v>
      </c>
      <c r="H9">
        <f t="shared" si="3"/>
        <v>8.7660152270443353E-2</v>
      </c>
      <c r="I9">
        <f t="shared" si="4"/>
        <v>7.9321554684705213E-4</v>
      </c>
    </row>
    <row r="10" spans="1:39">
      <c r="A10" t="s">
        <v>49</v>
      </c>
      <c r="B10">
        <v>221</v>
      </c>
      <c r="C10">
        <f t="shared" si="0"/>
        <v>230.92500000000001</v>
      </c>
      <c r="D10">
        <v>240.85</v>
      </c>
      <c r="E10">
        <v>8.7420779437196755E-2</v>
      </c>
      <c r="F10">
        <v>9.442416090663546E-4</v>
      </c>
      <c r="H10">
        <f t="shared" si="3"/>
        <v>8.7420779437196755E-2</v>
      </c>
      <c r="I10">
        <f t="shared" si="4"/>
        <v>9.442416090663546E-4</v>
      </c>
    </row>
    <row r="11" spans="1:39">
      <c r="A11" t="s">
        <v>39</v>
      </c>
      <c r="B11">
        <v>240.85</v>
      </c>
      <c r="C11">
        <f t="shared" si="0"/>
        <v>250.92500000000001</v>
      </c>
      <c r="D11">
        <v>261</v>
      </c>
      <c r="E11">
        <v>8.8436208310436373E-2</v>
      </c>
      <c r="F11">
        <v>2.8666959444078412E-4</v>
      </c>
      <c r="H11">
        <f t="shared" si="3"/>
        <v>8.8436208310436373E-2</v>
      </c>
      <c r="I11">
        <f t="shared" si="4"/>
        <v>2.8666959444078412E-4</v>
      </c>
    </row>
    <row r="12" spans="1:39">
      <c r="A12" t="s">
        <v>44</v>
      </c>
      <c r="B12">
        <v>261</v>
      </c>
      <c r="C12">
        <f t="shared" si="0"/>
        <v>270.84000000000003</v>
      </c>
      <c r="D12">
        <v>280.68</v>
      </c>
      <c r="E12">
        <v>8.7813512031462412E-2</v>
      </c>
      <c r="F12">
        <v>7.0540856064471124E-4</v>
      </c>
      <c r="H12">
        <f t="shared" si="3"/>
        <v>8.7813512031462412E-2</v>
      </c>
      <c r="I12">
        <f t="shared" si="4"/>
        <v>7.0540856064471124E-4</v>
      </c>
    </row>
    <row r="13" spans="1:39">
      <c r="A13" t="s">
        <v>34</v>
      </c>
      <c r="B13">
        <v>281</v>
      </c>
      <c r="C13">
        <f t="shared" si="0"/>
        <v>290.685</v>
      </c>
      <c r="D13">
        <v>300.37</v>
      </c>
      <c r="E13">
        <v>8.7959230006309203E-2</v>
      </c>
      <c r="F13">
        <v>2.8227443884274898E-4</v>
      </c>
      <c r="H13">
        <f>E13</f>
        <v>8.7959230006309203E-2</v>
      </c>
      <c r="I13">
        <f>F13</f>
        <v>2.8227443884274898E-4</v>
      </c>
    </row>
    <row r="14" spans="1:39">
      <c r="A14" t="s">
        <v>41</v>
      </c>
      <c r="B14">
        <v>100</v>
      </c>
      <c r="C14">
        <f t="shared" si="0"/>
        <v>109.96000000000001</v>
      </c>
      <c r="D14">
        <v>119.92</v>
      </c>
      <c r="E14" s="43">
        <v>7.4746823265359294E-2</v>
      </c>
      <c r="H14">
        <f>P14</f>
        <v>8.334968154307601E-2</v>
      </c>
      <c r="I14">
        <f>Q14</f>
        <v>3.3008869212777891E-3</v>
      </c>
      <c r="N14">
        <v>0.45600000000000002</v>
      </c>
      <c r="O14">
        <f>N14*0.2</f>
        <v>9.1200000000000003E-2</v>
      </c>
      <c r="P14">
        <f>AA$40*(1-N14)+X36*N14</f>
        <v>8.334968154307601E-2</v>
      </c>
      <c r="Q14">
        <f>AA$42</f>
        <v>3.3008869212777891E-3</v>
      </c>
    </row>
    <row r="15" spans="1:39">
      <c r="A15" t="s">
        <v>46</v>
      </c>
      <c r="B15">
        <v>119.92</v>
      </c>
      <c r="C15">
        <f t="shared" si="0"/>
        <v>129.84</v>
      </c>
      <c r="D15">
        <v>139.76</v>
      </c>
      <c r="E15" s="43">
        <v>8.4104330759438212E-2</v>
      </c>
      <c r="H15">
        <f t="shared" ref="H15:H16" si="5">P15</f>
        <v>8.4750631035932597E-2</v>
      </c>
      <c r="I15">
        <f t="shared" ref="I15:I16" si="6">Q15</f>
        <v>9.6441995647111455E-4</v>
      </c>
      <c r="N15">
        <v>0.23</v>
      </c>
      <c r="O15">
        <f>N15*0.2</f>
        <v>4.6000000000000006E-2</v>
      </c>
      <c r="P15">
        <f>E15*(1-N15)+X37*N15</f>
        <v>8.4750631035932597E-2</v>
      </c>
      <c r="Q15">
        <f>Q5</f>
        <v>9.6441995647111455E-4</v>
      </c>
    </row>
    <row r="16" spans="1:39">
      <c r="A16" t="s">
        <v>36</v>
      </c>
      <c r="B16">
        <v>139.76</v>
      </c>
      <c r="C16">
        <f t="shared" si="0"/>
        <v>149.73500000000001</v>
      </c>
      <c r="D16">
        <v>159.71</v>
      </c>
      <c r="E16" s="43">
        <v>8.5201943725093668E-2</v>
      </c>
      <c r="H16">
        <f t="shared" si="5"/>
        <v>8.5450371707273265E-2</v>
      </c>
      <c r="I16">
        <f t="shared" si="6"/>
        <v>3.9820107051383006E-4</v>
      </c>
      <c r="N16">
        <v>0.11</v>
      </c>
      <c r="O16">
        <f>N16*0.2</f>
        <v>2.2000000000000002E-2</v>
      </c>
      <c r="P16">
        <f>E16*(1-N16)+X38*N16</f>
        <v>8.5450371707273265E-2</v>
      </c>
      <c r="Q16">
        <f>Q6</f>
        <v>3.9820107051383006E-4</v>
      </c>
    </row>
    <row r="17" spans="1:27">
      <c r="A17" t="s">
        <v>54</v>
      </c>
      <c r="B17">
        <v>159.71</v>
      </c>
      <c r="C17">
        <f t="shared" si="0"/>
        <v>169.67000000000002</v>
      </c>
      <c r="D17">
        <v>179.63</v>
      </c>
      <c r="E17" s="43">
        <v>8.5930271594784974E-2</v>
      </c>
      <c r="H17">
        <f>H7</f>
        <v>8.5930271594784974E-2</v>
      </c>
      <c r="I17">
        <f>I7</f>
        <v>3.4471077633150778E-4</v>
      </c>
    </row>
    <row r="20" spans="1:27">
      <c r="A20" s="53" t="s">
        <v>116</v>
      </c>
    </row>
    <row r="22" spans="1:27" ht="136">
      <c r="A22" s="44" t="s">
        <v>70</v>
      </c>
      <c r="B22" s="45" t="s">
        <v>117</v>
      </c>
      <c r="C22" s="46" t="s">
        <v>118</v>
      </c>
      <c r="D22" s="47" t="s">
        <v>147</v>
      </c>
      <c r="E22" s="48" t="s">
        <v>119</v>
      </c>
      <c r="F22" s="47" t="s">
        <v>150</v>
      </c>
      <c r="G22" s="47" t="s">
        <v>1</v>
      </c>
      <c r="H22" s="47" t="s">
        <v>120</v>
      </c>
      <c r="I22" s="47" t="s">
        <v>1</v>
      </c>
      <c r="J22" s="47" t="s">
        <v>151</v>
      </c>
      <c r="K22" s="47" t="s">
        <v>1</v>
      </c>
      <c r="L22" s="47" t="s">
        <v>152</v>
      </c>
      <c r="M22" s="47" t="s">
        <v>1</v>
      </c>
      <c r="N22" s="47" t="s">
        <v>121</v>
      </c>
      <c r="O22" s="47" t="s">
        <v>1</v>
      </c>
      <c r="P22" s="47" t="s">
        <v>122</v>
      </c>
      <c r="Q22" s="47" t="s">
        <v>1</v>
      </c>
      <c r="R22" s="47" t="s">
        <v>123</v>
      </c>
      <c r="S22" s="47" t="s">
        <v>1</v>
      </c>
      <c r="T22" s="47" t="s">
        <v>153</v>
      </c>
      <c r="U22" s="47" t="s">
        <v>1</v>
      </c>
      <c r="V22" s="47" t="s">
        <v>154</v>
      </c>
      <c r="W22" s="47" t="s">
        <v>1</v>
      </c>
      <c r="X22" s="47" t="s">
        <v>155</v>
      </c>
      <c r="Y22" s="47" t="s">
        <v>1</v>
      </c>
    </row>
    <row r="23" spans="1:27">
      <c r="A23" s="49" t="s">
        <v>130</v>
      </c>
      <c r="B23" s="50">
        <v>20.399999999999999</v>
      </c>
      <c r="C23" s="50">
        <f>B23+273.15</f>
        <v>293.54999999999995</v>
      </c>
      <c r="D23" s="50">
        <v>1</v>
      </c>
      <c r="E23" s="50">
        <v>26.96</v>
      </c>
      <c r="F23" s="50">
        <f>E23*51.7149</f>
        <v>1394.233704</v>
      </c>
      <c r="G23" s="50">
        <f>F23*0.0001</f>
        <v>0.1394233704</v>
      </c>
      <c r="H23" s="50">
        <f>F23/760*273.15/C23*D$49/1000</f>
        <v>10.381301781234164</v>
      </c>
      <c r="I23" s="50">
        <f>H23*SQRT((G23/F23)^2+(D23/C23)^2+(D$50/D$49)^2)</f>
        <v>6.0500419248151784E-2</v>
      </c>
      <c r="J23" s="50">
        <f>(F23+15)/760*273.15/293.15*300</f>
        <v>518.32480171943587</v>
      </c>
      <c r="K23" s="50">
        <f>(F23+15)/760*273.15/293.15*25</f>
        <v>43.193733476619656</v>
      </c>
      <c r="L23" s="50">
        <f>H23+J23/1000+J$45/1000</f>
        <v>11.017551076165427</v>
      </c>
      <c r="M23" s="50">
        <f>SQRT(I23^2+(K23/1000)^2+(K$45/1000)^2)</f>
        <v>7.7338088055582524E-2</v>
      </c>
      <c r="N23" s="50">
        <v>1.1193228018299094E-2</v>
      </c>
      <c r="O23" s="50">
        <v>1.5680836319426055E-3</v>
      </c>
      <c r="P23" s="50">
        <f>N23*O$41</f>
        <v>6.814452216466033E-3</v>
      </c>
      <c r="Q23" s="50">
        <f>P23*SQRT((O23/N23)^2+(O$42/O$41)^2)</f>
        <v>3.3952422947025095E-3</v>
      </c>
      <c r="R23" s="50">
        <f>L23/(1-P23)</f>
        <v>11.093144781207304</v>
      </c>
      <c r="S23" s="50">
        <f>R23*SQRT((M23/L23)^2+(Q23/(1-P23))^2)</f>
        <v>8.6612014787225355E-2</v>
      </c>
      <c r="T23" s="50">
        <v>66.7</v>
      </c>
      <c r="U23" s="50">
        <v>0.5</v>
      </c>
      <c r="V23" s="50">
        <f>-2.8704*T23+294.67</f>
        <v>103.21432000000001</v>
      </c>
      <c r="W23" s="50">
        <f>2.8704*U23</f>
        <v>1.4352</v>
      </c>
      <c r="X23" s="50">
        <f>R23/V23</f>
        <v>0.10747679954881553</v>
      </c>
      <c r="Y23" s="50">
        <f>X23*SQRT((W23/V23)^2+(S23/R23)^2)</f>
        <v>1.7139453491366347E-3</v>
      </c>
    </row>
    <row r="24" spans="1:27">
      <c r="A24" s="49" t="s">
        <v>131</v>
      </c>
      <c r="B24" s="50">
        <v>20.3</v>
      </c>
      <c r="C24" s="50">
        <f t="shared" ref="C24:C39" si="7">B24+273.15</f>
        <v>293.45</v>
      </c>
      <c r="D24" s="50">
        <v>1</v>
      </c>
      <c r="E24" s="50">
        <v>25.28</v>
      </c>
      <c r="F24" s="50">
        <f t="shared" ref="F24:F39" si="8">E24*51.7149</f>
        <v>1307.352672</v>
      </c>
      <c r="G24" s="50">
        <f t="shared" ref="G24:G39" si="9">F24*0.0001</f>
        <v>0.1307352672</v>
      </c>
      <c r="H24" s="50">
        <f t="shared" ref="H24:H39" si="10">F24/760*273.15/C24*D$49/1000</f>
        <v>9.737712960169306</v>
      </c>
      <c r="I24" s="50">
        <f t="shared" ref="I24:I39" si="11">H24*SQRT((G24/F24)^2+(D24/C24)^2+(D$50/D$49)^2)</f>
        <v>5.675630412547137E-2</v>
      </c>
      <c r="J24" s="50">
        <f t="shared" ref="J24:J39" si="12">(F24+15)/760*273.15/293.15*300</f>
        <v>486.36942515076703</v>
      </c>
      <c r="K24" s="50">
        <f t="shared" ref="K24:K39" si="13">(F24+15)/760*273.15/293.15*25</f>
        <v>40.53078542923059</v>
      </c>
      <c r="L24" s="50">
        <f t="shared" ref="L24:L39" si="14">H24+J24/1000+J$45/1000</f>
        <v>10.342006878531901</v>
      </c>
      <c r="M24" s="50">
        <f t="shared" ref="M24:M39" si="15">SQRT(I24^2+(K24/1000)^2+(K$45/1000)^2)</f>
        <v>7.2932867410619315E-2</v>
      </c>
      <c r="N24" s="50">
        <v>1.6467905992009684E-2</v>
      </c>
      <c r="O24" s="50">
        <v>2.3126437986477595E-3</v>
      </c>
      <c r="P24" s="50">
        <f t="shared" ref="P24:P39" si="16">N24*O$41</f>
        <v>1.0025683234929524E-2</v>
      </c>
      <c r="Q24" s="50">
        <f t="shared" ref="Q24:Q39" si="17">P24*SQRT((O24/N24)^2+(O$42/O$41)^2)</f>
        <v>4.9961735151589325E-3</v>
      </c>
      <c r="R24" s="50">
        <f t="shared" ref="R24:R39" si="18">L24/(1-P24)</f>
        <v>10.446742610784467</v>
      </c>
      <c r="S24" s="50">
        <f t="shared" ref="S24:S39" si="19">R24*SQRT((M24/L24)^2+(Q24/(1-P24))^2)</f>
        <v>9.0593204631213051E-2</v>
      </c>
      <c r="T24" s="50">
        <v>61</v>
      </c>
      <c r="U24" s="50">
        <v>0.5</v>
      </c>
      <c r="V24" s="50">
        <f t="shared" ref="V24:V39" si="20">-2.8704*T24+294.67</f>
        <v>119.57560000000001</v>
      </c>
      <c r="W24" s="50">
        <f t="shared" ref="W24:W39" si="21">2.8704*U24</f>
        <v>1.4352</v>
      </c>
      <c r="X24" s="50">
        <f t="shared" ref="X24:X39" si="22">R24/V24</f>
        <v>8.736516990744321E-2</v>
      </c>
      <c r="Y24" s="50">
        <f t="shared" ref="Y24:Y39" si="23">X24*SQRT((W24/V24)^2+(S24/R24)^2)</f>
        <v>1.2936560035483346E-3</v>
      </c>
    </row>
    <row r="25" spans="1:27">
      <c r="A25" s="49" t="s">
        <v>132</v>
      </c>
      <c r="B25" s="50">
        <v>20.8</v>
      </c>
      <c r="C25" s="50">
        <f t="shared" si="7"/>
        <v>293.95</v>
      </c>
      <c r="D25" s="50">
        <v>1</v>
      </c>
      <c r="E25" s="50">
        <v>27.41</v>
      </c>
      <c r="F25" s="50">
        <f t="shared" si="8"/>
        <v>1417.5054090000001</v>
      </c>
      <c r="G25" s="50">
        <f t="shared" si="9"/>
        <v>0.14175054090000003</v>
      </c>
      <c r="H25" s="50">
        <f t="shared" si="10"/>
        <v>10.54021777070604</v>
      </c>
      <c r="I25" s="50">
        <f t="shared" si="11"/>
        <v>6.1398006292238717E-2</v>
      </c>
      <c r="J25" s="50">
        <f t="shared" si="12"/>
        <v>526.88427758604359</v>
      </c>
      <c r="K25" s="50">
        <f t="shared" si="13"/>
        <v>43.907023132170295</v>
      </c>
      <c r="L25" s="50">
        <f t="shared" si="14"/>
        <v>11.185026541503911</v>
      </c>
      <c r="M25" s="50">
        <f t="shared" si="15"/>
        <v>7.843929104876185E-2</v>
      </c>
      <c r="N25" s="50">
        <v>1.7588903591145268E-2</v>
      </c>
      <c r="O25" s="50">
        <v>2.4429665448098487E-3</v>
      </c>
      <c r="P25" s="50">
        <f t="shared" si="16"/>
        <v>1.0708148075420051E-2</v>
      </c>
      <c r="Q25" s="50">
        <f t="shared" si="17"/>
        <v>5.3316449997147936E-3</v>
      </c>
      <c r="R25" s="50">
        <f t="shared" si="18"/>
        <v>11.30609386880568</v>
      </c>
      <c r="S25" s="50">
        <f t="shared" si="19"/>
        <v>9.9997070569237345E-2</v>
      </c>
      <c r="T25" s="50">
        <v>57.2</v>
      </c>
      <c r="U25" s="50">
        <v>0.5</v>
      </c>
      <c r="V25" s="50">
        <f t="shared" si="20"/>
        <v>130.48312000000001</v>
      </c>
      <c r="W25" s="50">
        <f t="shared" si="21"/>
        <v>1.4352</v>
      </c>
      <c r="X25" s="50">
        <f t="shared" si="22"/>
        <v>8.6647942422021174E-2</v>
      </c>
      <c r="Y25" s="50">
        <f t="shared" si="23"/>
        <v>1.2229534061038165E-3</v>
      </c>
    </row>
    <row r="26" spans="1:27">
      <c r="A26" s="49" t="s">
        <v>133</v>
      </c>
      <c r="B26" s="50">
        <v>20.6</v>
      </c>
      <c r="C26" s="50">
        <f t="shared" si="7"/>
        <v>293.75</v>
      </c>
      <c r="D26" s="50">
        <v>1</v>
      </c>
      <c r="E26" s="50">
        <v>27.43</v>
      </c>
      <c r="F26" s="50">
        <f t="shared" si="8"/>
        <v>1418.5397069999999</v>
      </c>
      <c r="G26" s="50">
        <f t="shared" si="9"/>
        <v>0.1418539707</v>
      </c>
      <c r="H26" s="50">
        <f t="shared" si="10"/>
        <v>10.555090108224476</v>
      </c>
      <c r="I26" s="50">
        <f t="shared" si="11"/>
        <v>6.1498920444856053E-2</v>
      </c>
      <c r="J26" s="50">
        <f t="shared" si="12"/>
        <v>527.26469873567066</v>
      </c>
      <c r="K26" s="50">
        <f t="shared" si="13"/>
        <v>43.938724894639222</v>
      </c>
      <c r="L26" s="50">
        <f t="shared" si="14"/>
        <v>11.200279300171974</v>
      </c>
      <c r="M26" s="50">
        <f t="shared" si="15"/>
        <v>7.8536038125762167E-2</v>
      </c>
      <c r="N26" s="50">
        <v>2.1704493070640114E-2</v>
      </c>
      <c r="O26" s="50">
        <v>3.0185353872358954E-3</v>
      </c>
      <c r="P26" s="50">
        <f t="shared" si="16"/>
        <v>1.3213724465426416E-2</v>
      </c>
      <c r="Q26" s="50">
        <f t="shared" si="17"/>
        <v>6.5798553415907608E-3</v>
      </c>
      <c r="R26" s="50">
        <f t="shared" si="18"/>
        <v>11.350258488449716</v>
      </c>
      <c r="S26" s="50">
        <f t="shared" si="19"/>
        <v>0.10982774661768667</v>
      </c>
      <c r="T26" s="50">
        <v>53.2</v>
      </c>
      <c r="U26" s="50">
        <v>0.5</v>
      </c>
      <c r="V26" s="50">
        <f t="shared" si="20"/>
        <v>141.96472</v>
      </c>
      <c r="W26" s="50">
        <f t="shared" si="21"/>
        <v>1.4352</v>
      </c>
      <c r="X26" s="50">
        <f t="shared" si="22"/>
        <v>7.995126175327022E-2</v>
      </c>
      <c r="Y26" s="50">
        <f t="shared" si="23"/>
        <v>1.1188394773281709E-3</v>
      </c>
      <c r="AA26" t="s">
        <v>156</v>
      </c>
    </row>
    <row r="27" spans="1:27">
      <c r="A27" s="49" t="s">
        <v>134</v>
      </c>
      <c r="B27" s="50">
        <v>20.2</v>
      </c>
      <c r="C27" s="50">
        <f t="shared" si="7"/>
        <v>293.34999999999997</v>
      </c>
      <c r="D27" s="50">
        <v>1</v>
      </c>
      <c r="E27" s="50">
        <v>29.2</v>
      </c>
      <c r="F27" s="50">
        <f t="shared" si="8"/>
        <v>1510.0750800000001</v>
      </c>
      <c r="G27" s="50">
        <f t="shared" si="9"/>
        <v>0.15100750800000001</v>
      </c>
      <c r="H27" s="50">
        <f t="shared" si="10"/>
        <v>11.251508996673245</v>
      </c>
      <c r="I27" s="50">
        <f t="shared" si="11"/>
        <v>6.5587113906982117E-2</v>
      </c>
      <c r="J27" s="50">
        <f t="shared" si="12"/>
        <v>560.93197047766103</v>
      </c>
      <c r="K27" s="50">
        <f t="shared" si="13"/>
        <v>46.744330873138416</v>
      </c>
      <c r="L27" s="50">
        <f t="shared" si="14"/>
        <v>11.930365460362733</v>
      </c>
      <c r="M27" s="50">
        <f t="shared" si="15"/>
        <v>8.3317960264678442E-2</v>
      </c>
      <c r="N27" s="50">
        <v>2.3617879488391495E-2</v>
      </c>
      <c r="O27" s="50">
        <v>3.2906084846607321E-3</v>
      </c>
      <c r="P27" s="50">
        <f t="shared" si="16"/>
        <v>1.4378596680491256E-2</v>
      </c>
      <c r="Q27" s="50">
        <f t="shared" si="17"/>
        <v>7.1609266303078907E-3</v>
      </c>
      <c r="R27" s="50">
        <f t="shared" si="18"/>
        <v>12.104409888200518</v>
      </c>
      <c r="S27" s="50">
        <f t="shared" si="19"/>
        <v>0.1219832932943902</v>
      </c>
      <c r="T27" s="50">
        <v>51.5</v>
      </c>
      <c r="U27" s="50">
        <v>0.5</v>
      </c>
      <c r="V27" s="50">
        <f t="shared" si="20"/>
        <v>146.84440000000001</v>
      </c>
      <c r="W27" s="50">
        <f t="shared" si="21"/>
        <v>1.4352</v>
      </c>
      <c r="X27" s="50">
        <f t="shared" si="22"/>
        <v>8.2430177032290761E-2</v>
      </c>
      <c r="Y27" s="50">
        <f t="shared" si="23"/>
        <v>1.1572014018946277E-3</v>
      </c>
      <c r="AA27">
        <f>AVERAGE(X26:X29)</f>
        <v>8.2178043772586765E-2</v>
      </c>
    </row>
    <row r="28" spans="1:27">
      <c r="A28" s="49" t="s">
        <v>135</v>
      </c>
      <c r="B28" s="50">
        <v>20.2</v>
      </c>
      <c r="C28" s="50">
        <f t="shared" si="7"/>
        <v>293.34999999999997</v>
      </c>
      <c r="D28" s="50">
        <v>1</v>
      </c>
      <c r="E28" s="50">
        <v>29.54</v>
      </c>
      <c r="F28" s="50">
        <f t="shared" si="8"/>
        <v>1527.658146</v>
      </c>
      <c r="G28" s="50">
        <f t="shared" si="9"/>
        <v>0.15276581459999999</v>
      </c>
      <c r="H28" s="50">
        <f t="shared" si="10"/>
        <v>11.382519717867384</v>
      </c>
      <c r="I28" s="50">
        <f t="shared" si="11"/>
        <v>6.6350799479871631E-2</v>
      </c>
      <c r="J28" s="50">
        <f t="shared" si="12"/>
        <v>567.39913002132005</v>
      </c>
      <c r="K28" s="50">
        <f t="shared" si="13"/>
        <v>47.283260835110006</v>
      </c>
      <c r="L28" s="50">
        <f t="shared" si="14"/>
        <v>12.067843341100531</v>
      </c>
      <c r="M28" s="50">
        <f t="shared" si="15"/>
        <v>8.4221825378347326E-2</v>
      </c>
      <c r="N28" s="50">
        <v>2.3491453055896137E-2</v>
      </c>
      <c r="O28" s="50">
        <v>3.2766381257628881E-3</v>
      </c>
      <c r="P28" s="50">
        <f t="shared" si="16"/>
        <v>1.4301628098976662E-2</v>
      </c>
      <c r="Q28" s="50">
        <f t="shared" si="17"/>
        <v>7.1232152109984882E-3</v>
      </c>
      <c r="R28" s="50">
        <f t="shared" si="18"/>
        <v>12.242937276873473</v>
      </c>
      <c r="S28" s="50">
        <f t="shared" si="19"/>
        <v>0.12299741944189728</v>
      </c>
      <c r="T28" s="50">
        <v>51.8</v>
      </c>
      <c r="U28" s="50">
        <v>0.5</v>
      </c>
      <c r="V28" s="50">
        <f t="shared" si="20"/>
        <v>145.98328000000001</v>
      </c>
      <c r="W28" s="50">
        <f t="shared" si="21"/>
        <v>1.4352</v>
      </c>
      <c r="X28" s="50">
        <f t="shared" si="22"/>
        <v>8.3865339077690768E-2</v>
      </c>
      <c r="Y28" s="50">
        <f t="shared" si="23"/>
        <v>1.1788491062542138E-3</v>
      </c>
    </row>
    <row r="29" spans="1:27">
      <c r="A29" s="49" t="s">
        <v>136</v>
      </c>
      <c r="B29" s="50">
        <v>20.5</v>
      </c>
      <c r="C29" s="50">
        <f t="shared" si="7"/>
        <v>293.64999999999998</v>
      </c>
      <c r="D29" s="50">
        <v>1</v>
      </c>
      <c r="E29" s="50">
        <v>28.01</v>
      </c>
      <c r="F29" s="50">
        <f t="shared" si="8"/>
        <v>1448.534349</v>
      </c>
      <c r="G29" s="50">
        <f t="shared" si="9"/>
        <v>0.14485343490000002</v>
      </c>
      <c r="H29" s="50">
        <f t="shared" si="10"/>
        <v>10.781945109674927</v>
      </c>
      <c r="I29" s="50">
        <f t="shared" si="11"/>
        <v>6.2827988298431336E-2</v>
      </c>
      <c r="J29" s="50">
        <f t="shared" si="12"/>
        <v>538.29691207485394</v>
      </c>
      <c r="K29" s="50">
        <f t="shared" si="13"/>
        <v>44.85807600623783</v>
      </c>
      <c r="L29" s="50">
        <f t="shared" si="14"/>
        <v>11.438166514961608</v>
      </c>
      <c r="M29" s="50">
        <f t="shared" si="15"/>
        <v>8.0092344327350559E-2</v>
      </c>
      <c r="N29" s="50">
        <v>2.1353644892260073E-2</v>
      </c>
      <c r="O29" s="50">
        <v>2.9694715517902277E-3</v>
      </c>
      <c r="P29" s="50">
        <f t="shared" si="16"/>
        <v>1.3000127624292087E-2</v>
      </c>
      <c r="Q29" s="50">
        <f t="shared" si="17"/>
        <v>6.4734475915581846E-3</v>
      </c>
      <c r="R29" s="50">
        <f t="shared" si="18"/>
        <v>11.588822688933028</v>
      </c>
      <c r="S29" s="50">
        <f t="shared" si="19"/>
        <v>0.11118478699554482</v>
      </c>
      <c r="T29" s="50">
        <v>53.7</v>
      </c>
      <c r="U29" s="50">
        <v>0.5</v>
      </c>
      <c r="V29" s="50">
        <f t="shared" si="20"/>
        <v>140.52951999999999</v>
      </c>
      <c r="W29" s="50">
        <f t="shared" si="21"/>
        <v>1.4352</v>
      </c>
      <c r="X29" s="50">
        <f t="shared" si="22"/>
        <v>8.2465397227095269E-2</v>
      </c>
      <c r="Y29" s="50">
        <f t="shared" si="23"/>
        <v>1.1555424549512603E-3</v>
      </c>
    </row>
    <row r="30" spans="1:27">
      <c r="A30" s="49" t="s">
        <v>137</v>
      </c>
      <c r="B30" s="50">
        <v>20.5</v>
      </c>
      <c r="C30" s="50">
        <f t="shared" si="7"/>
        <v>293.64999999999998</v>
      </c>
      <c r="D30" s="50">
        <v>1</v>
      </c>
      <c r="E30" s="50">
        <v>28.05</v>
      </c>
      <c r="F30" s="50">
        <f t="shared" si="8"/>
        <v>1450.6029450000001</v>
      </c>
      <c r="G30" s="50">
        <f t="shared" si="9"/>
        <v>0.14506029450000002</v>
      </c>
      <c r="H30" s="50">
        <f t="shared" si="10"/>
        <v>10.79734238937457</v>
      </c>
      <c r="I30" s="50">
        <f t="shared" si="11"/>
        <v>6.291771052377719E-2</v>
      </c>
      <c r="J30" s="50">
        <f t="shared" si="12"/>
        <v>539.05775437410796</v>
      </c>
      <c r="K30" s="50">
        <f t="shared" si="13"/>
        <v>44.92147953117567</v>
      </c>
      <c r="L30" s="50">
        <f t="shared" si="14"/>
        <v>11.454324636960505</v>
      </c>
      <c r="M30" s="50">
        <f t="shared" si="15"/>
        <v>8.0198242774173714E-2</v>
      </c>
      <c r="N30" s="50">
        <v>2.2107116899802839E-2</v>
      </c>
      <c r="O30" s="50">
        <v>3.0736723888882423E-3</v>
      </c>
      <c r="P30" s="50">
        <f t="shared" si="16"/>
        <v>1.3458842392136613E-2</v>
      </c>
      <c r="Q30" s="50">
        <f t="shared" si="17"/>
        <v>6.701767520758118E-3</v>
      </c>
      <c r="R30" s="50">
        <f t="shared" si="18"/>
        <v>11.610589734273857</v>
      </c>
      <c r="S30" s="50">
        <f t="shared" si="19"/>
        <v>0.11326692920142006</v>
      </c>
      <c r="T30" s="50">
        <v>52.7</v>
      </c>
      <c r="U30" s="50">
        <v>0.5</v>
      </c>
      <c r="V30" s="50">
        <f t="shared" si="20"/>
        <v>143.39992000000001</v>
      </c>
      <c r="W30" s="50">
        <f t="shared" si="21"/>
        <v>1.4352</v>
      </c>
      <c r="X30" s="50">
        <f t="shared" si="22"/>
        <v>8.0966500778200265E-2</v>
      </c>
      <c r="Y30" s="50">
        <f t="shared" si="23"/>
        <v>1.1316122891875202E-3</v>
      </c>
    </row>
    <row r="31" spans="1:27">
      <c r="A31" s="49" t="s">
        <v>138</v>
      </c>
      <c r="B31" s="50">
        <v>20.399999999999999</v>
      </c>
      <c r="C31" s="50">
        <f t="shared" si="7"/>
        <v>293.54999999999995</v>
      </c>
      <c r="D31" s="50">
        <v>1</v>
      </c>
      <c r="E31" s="50">
        <v>26.86</v>
      </c>
      <c r="F31" s="50">
        <f t="shared" si="8"/>
        <v>1389.062214</v>
      </c>
      <c r="G31" s="50">
        <f t="shared" si="9"/>
        <v>0.1389062214</v>
      </c>
      <c r="H31" s="50">
        <f t="shared" si="10"/>
        <v>10.34279546898923</v>
      </c>
      <c r="I31" s="50">
        <f t="shared" si="11"/>
        <v>6.0276011164887129E-2</v>
      </c>
      <c r="J31" s="50">
        <f t="shared" si="12"/>
        <v>516.42269597130087</v>
      </c>
      <c r="K31" s="50">
        <f t="shared" si="13"/>
        <v>43.035224664275077</v>
      </c>
      <c r="L31" s="50">
        <f t="shared" si="14"/>
        <v>10.977142658172358</v>
      </c>
      <c r="M31" s="50">
        <f t="shared" si="15"/>
        <v>7.7074046261344523E-2</v>
      </c>
      <c r="N31" s="50">
        <v>2.0085019942636267E-2</v>
      </c>
      <c r="O31" s="50">
        <v>2.7733332668584427E-3</v>
      </c>
      <c r="P31" s="50">
        <f t="shared" si="16"/>
        <v>1.2227787055003683E-2</v>
      </c>
      <c r="Q31" s="50">
        <f t="shared" si="17"/>
        <v>6.0855165286248713E-3</v>
      </c>
      <c r="R31" s="50">
        <f t="shared" si="18"/>
        <v>11.113030427779016</v>
      </c>
      <c r="S31" s="50">
        <f t="shared" si="19"/>
        <v>0.10380726131060838</v>
      </c>
      <c r="T31" s="50">
        <v>53</v>
      </c>
      <c r="U31" s="50">
        <v>0.5</v>
      </c>
      <c r="V31" s="50">
        <f t="shared" si="20"/>
        <v>142.53880000000001</v>
      </c>
      <c r="W31" s="50">
        <f t="shared" si="21"/>
        <v>1.4352</v>
      </c>
      <c r="X31" s="50">
        <f t="shared" si="22"/>
        <v>7.7964950089231946E-2</v>
      </c>
      <c r="Y31" s="50">
        <f t="shared" si="23"/>
        <v>1.0708096746375273E-3</v>
      </c>
    </row>
    <row r="32" spans="1:27">
      <c r="A32" s="49" t="s">
        <v>139</v>
      </c>
      <c r="B32" s="50">
        <v>20.3</v>
      </c>
      <c r="C32" s="50">
        <f t="shared" si="7"/>
        <v>293.45</v>
      </c>
      <c r="D32" s="50">
        <v>1</v>
      </c>
      <c r="E32" s="50">
        <v>29.54</v>
      </c>
      <c r="F32" s="50">
        <f t="shared" si="8"/>
        <v>1527.658146</v>
      </c>
      <c r="G32" s="50">
        <f t="shared" si="9"/>
        <v>0.15276581459999999</v>
      </c>
      <c r="H32" s="50">
        <f t="shared" si="10"/>
        <v>11.378640856147204</v>
      </c>
      <c r="I32" s="50">
        <f t="shared" si="11"/>
        <v>6.6320459804842732E-2</v>
      </c>
      <c r="J32" s="50">
        <f t="shared" si="12"/>
        <v>567.39913002132005</v>
      </c>
      <c r="K32" s="50">
        <f t="shared" si="13"/>
        <v>47.283260835110006</v>
      </c>
      <c r="L32" s="50">
        <f t="shared" si="14"/>
        <v>12.063964479380351</v>
      </c>
      <c r="M32" s="50">
        <f t="shared" si="15"/>
        <v>8.4197925551455582E-2</v>
      </c>
      <c r="N32" s="50">
        <v>2.2096640256682475E-2</v>
      </c>
      <c r="O32" s="50">
        <v>3.057872385593274E-3</v>
      </c>
      <c r="P32" s="50">
        <f t="shared" si="16"/>
        <v>1.3452464197766233E-2</v>
      </c>
      <c r="Q32" s="50">
        <f t="shared" si="17"/>
        <v>6.6961585698610002E-3</v>
      </c>
      <c r="R32" s="50">
        <f t="shared" si="18"/>
        <v>12.228467500626071</v>
      </c>
      <c r="S32" s="50">
        <f t="shared" si="19"/>
        <v>0.1190504055247327</v>
      </c>
      <c r="T32" s="50">
        <v>51.5</v>
      </c>
      <c r="U32" s="50">
        <v>0.5</v>
      </c>
      <c r="V32" s="50">
        <f t="shared" si="20"/>
        <v>146.84440000000001</v>
      </c>
      <c r="W32" s="50">
        <f t="shared" si="21"/>
        <v>1.4352</v>
      </c>
      <c r="X32" s="50">
        <f t="shared" si="22"/>
        <v>8.3275000617157147E-2</v>
      </c>
      <c r="Y32" s="50">
        <f t="shared" si="23"/>
        <v>1.1487836334009877E-3</v>
      </c>
    </row>
    <row r="33" spans="1:27">
      <c r="A33" s="50" t="s">
        <v>140</v>
      </c>
      <c r="B33" s="50">
        <v>20.6</v>
      </c>
      <c r="C33" s="50">
        <f t="shared" si="7"/>
        <v>293.75</v>
      </c>
      <c r="D33" s="50">
        <v>1</v>
      </c>
      <c r="E33" s="50">
        <v>25.79</v>
      </c>
      <c r="F33" s="50">
        <f t="shared" si="8"/>
        <v>1333.727271</v>
      </c>
      <c r="G33" s="50">
        <f t="shared" si="9"/>
        <v>0.1333727271</v>
      </c>
      <c r="H33" s="50">
        <f t="shared" si="10"/>
        <v>9.9240165472515223</v>
      </c>
      <c r="I33" s="50">
        <f t="shared" si="11"/>
        <v>5.7821989000103456E-2</v>
      </c>
      <c r="J33" s="50">
        <f t="shared" si="12"/>
        <v>496.07016446625579</v>
      </c>
      <c r="K33" s="50">
        <f t="shared" si="13"/>
        <v>41.339180372187982</v>
      </c>
      <c r="L33" s="50">
        <f t="shared" si="14"/>
        <v>10.538011204929605</v>
      </c>
      <c r="M33" s="50">
        <f t="shared" si="15"/>
        <v>7.4212470441388928E-2</v>
      </c>
      <c r="N33" s="50">
        <v>1.6774236704043766E-2</v>
      </c>
      <c r="O33" s="50">
        <v>2.3349379387593745E-3</v>
      </c>
      <c r="P33" s="50">
        <f t="shared" si="16"/>
        <v>1.0212177782899028E-2</v>
      </c>
      <c r="Q33" s="50">
        <f t="shared" si="17"/>
        <v>5.0855695239370854E-3</v>
      </c>
      <c r="R33" s="50">
        <f t="shared" si="18"/>
        <v>10.646737581924086</v>
      </c>
      <c r="S33" s="50">
        <f t="shared" si="19"/>
        <v>9.2812621418270333E-2</v>
      </c>
      <c r="T33" s="50">
        <v>58.8</v>
      </c>
      <c r="U33" s="50">
        <v>0.5</v>
      </c>
      <c r="V33" s="50">
        <f t="shared" si="20"/>
        <v>125.89048000000003</v>
      </c>
      <c r="W33" s="50">
        <f t="shared" si="21"/>
        <v>1.4352</v>
      </c>
      <c r="X33" s="50">
        <f t="shared" si="22"/>
        <v>8.4571427338461846E-2</v>
      </c>
      <c r="Y33" s="50">
        <f t="shared" si="23"/>
        <v>1.2137195609726865E-3</v>
      </c>
    </row>
    <row r="34" spans="1:27">
      <c r="A34" s="50" t="s">
        <v>141</v>
      </c>
      <c r="B34" s="50">
        <v>20.7</v>
      </c>
      <c r="C34" s="50">
        <f t="shared" si="7"/>
        <v>293.84999999999997</v>
      </c>
      <c r="D34" s="50">
        <v>1</v>
      </c>
      <c r="E34" s="50">
        <v>25.99</v>
      </c>
      <c r="F34" s="50">
        <f t="shared" si="8"/>
        <v>1344.0702509999999</v>
      </c>
      <c r="G34" s="50">
        <f t="shared" si="9"/>
        <v>0.13440702509999999</v>
      </c>
      <c r="H34" s="50">
        <f t="shared" si="10"/>
        <v>9.997573308402707</v>
      </c>
      <c r="I34" s="50">
        <f t="shared" si="11"/>
        <v>5.8243798874579235E-2</v>
      </c>
      <c r="J34" s="50">
        <f t="shared" si="12"/>
        <v>499.8743759625259</v>
      </c>
      <c r="K34" s="50">
        <f t="shared" si="13"/>
        <v>41.656197996877161</v>
      </c>
      <c r="L34" s="50">
        <f t="shared" si="14"/>
        <v>10.61537217757706</v>
      </c>
      <c r="M34" s="50">
        <f t="shared" si="15"/>
        <v>7.4717865749358209E-2</v>
      </c>
      <c r="N34">
        <v>1.7549258269920303E-2</v>
      </c>
      <c r="O34">
        <v>2.4381603818289157E-3</v>
      </c>
      <c r="P34" s="50">
        <f t="shared" si="16"/>
        <v>1.0684011950733562E-2</v>
      </c>
      <c r="Q34" s="50">
        <f t="shared" si="17"/>
        <v>5.3197464337713862E-3</v>
      </c>
      <c r="R34" s="50">
        <f t="shared" si="18"/>
        <v>10.730011751360102</v>
      </c>
      <c r="S34" s="50">
        <f t="shared" si="19"/>
        <v>9.5041986462743533E-2</v>
      </c>
      <c r="T34" s="50">
        <v>57</v>
      </c>
      <c r="U34" s="50">
        <v>0.5</v>
      </c>
      <c r="V34" s="50">
        <f t="shared" si="20"/>
        <v>131.05720000000002</v>
      </c>
      <c r="W34" s="50">
        <f t="shared" si="21"/>
        <v>1.4352</v>
      </c>
      <c r="X34" s="50">
        <f t="shared" si="22"/>
        <v>8.1872737639443693E-2</v>
      </c>
      <c r="Y34" s="50">
        <f t="shared" si="23"/>
        <v>1.1531564210852524E-3</v>
      </c>
    </row>
    <row r="35" spans="1:27">
      <c r="A35" s="50" t="s">
        <v>142</v>
      </c>
      <c r="B35" s="50">
        <v>20.8</v>
      </c>
      <c r="C35" s="50">
        <f t="shared" si="7"/>
        <v>293.95</v>
      </c>
      <c r="D35" s="50">
        <v>1</v>
      </c>
      <c r="E35" s="50">
        <v>26.26</v>
      </c>
      <c r="F35" s="50">
        <f t="shared" si="8"/>
        <v>1358.0332740000001</v>
      </c>
      <c r="G35" s="50">
        <f t="shared" si="9"/>
        <v>0.13580332740000001</v>
      </c>
      <c r="H35" s="50">
        <f t="shared" si="10"/>
        <v>10.097997762084661</v>
      </c>
      <c r="I35" s="50">
        <f t="shared" si="11"/>
        <v>5.8822022810441028E-2</v>
      </c>
      <c r="J35" s="50">
        <f t="shared" si="12"/>
        <v>505.01006148249058</v>
      </c>
      <c r="K35" s="50">
        <f t="shared" si="13"/>
        <v>42.084171790207549</v>
      </c>
      <c r="L35" s="50">
        <f t="shared" si="14"/>
        <v>10.720932316778979</v>
      </c>
      <c r="M35" s="50">
        <f t="shared" si="15"/>
        <v>7.5407482427285649E-2</v>
      </c>
      <c r="N35">
        <v>1.7884148317898408E-2</v>
      </c>
      <c r="O35">
        <v>2.4968616313061007E-3</v>
      </c>
      <c r="P35" s="50">
        <f t="shared" si="16"/>
        <v>1.0887893460695297E-2</v>
      </c>
      <c r="Q35" s="50">
        <f t="shared" si="17"/>
        <v>5.4233351381533079E-3</v>
      </c>
      <c r="R35" s="50">
        <f t="shared" si="18"/>
        <v>10.838945601716743</v>
      </c>
      <c r="S35" s="50">
        <f t="shared" si="19"/>
        <v>9.6665014530864887E-2</v>
      </c>
      <c r="T35" s="50">
        <v>58.2</v>
      </c>
      <c r="U35" s="50">
        <v>0.5</v>
      </c>
      <c r="V35" s="50">
        <f t="shared" si="20"/>
        <v>127.61272</v>
      </c>
      <c r="W35" s="50">
        <f t="shared" si="21"/>
        <v>1.4352</v>
      </c>
      <c r="X35" s="50">
        <f t="shared" si="22"/>
        <v>8.4936247748004609E-2</v>
      </c>
      <c r="Y35" s="50">
        <f t="shared" si="23"/>
        <v>1.2191252579911089E-3</v>
      </c>
    </row>
    <row r="36" spans="1:27">
      <c r="A36" s="50" t="s">
        <v>143</v>
      </c>
      <c r="B36" s="50">
        <v>20.5</v>
      </c>
      <c r="C36" s="50">
        <f t="shared" si="7"/>
        <v>293.64999999999998</v>
      </c>
      <c r="D36" s="50">
        <v>1</v>
      </c>
      <c r="E36" s="50">
        <v>30.29</v>
      </c>
      <c r="F36" s="50">
        <f t="shared" si="8"/>
        <v>1566.4443209999999</v>
      </c>
      <c r="G36" s="50">
        <f t="shared" si="9"/>
        <v>0.15664443210000001</v>
      </c>
      <c r="H36" s="50">
        <f t="shared" si="10"/>
        <v>11.659590052554572</v>
      </c>
      <c r="I36" s="50">
        <f t="shared" si="11"/>
        <v>6.7942155143144778E-2</v>
      </c>
      <c r="J36" s="50">
        <f t="shared" si="12"/>
        <v>581.664923132333</v>
      </c>
      <c r="K36" s="50">
        <f t="shared" si="13"/>
        <v>48.47207692769441</v>
      </c>
      <c r="L36" s="50">
        <f t="shared" si="14"/>
        <v>12.359179468898732</v>
      </c>
      <c r="M36" s="50">
        <f t="shared" si="15"/>
        <v>8.6144409049114301E-2</v>
      </c>
      <c r="N36">
        <v>2.1493211500434893E-2</v>
      </c>
      <c r="O36">
        <v>2.9710667627724785E-3</v>
      </c>
      <c r="P36" s="50">
        <f t="shared" si="16"/>
        <v>1.3085095962368173E-2</v>
      </c>
      <c r="Q36" s="50">
        <f t="shared" si="17"/>
        <v>6.5127375692661032E-3</v>
      </c>
      <c r="R36" s="50">
        <f t="shared" si="18"/>
        <v>12.523044710678993</v>
      </c>
      <c r="S36" s="50">
        <f t="shared" si="19"/>
        <v>0.12020159483058741</v>
      </c>
      <c r="T36" s="50">
        <v>51.1</v>
      </c>
      <c r="U36" s="50">
        <v>0.5</v>
      </c>
      <c r="V36" s="50">
        <f t="shared" si="20"/>
        <v>147.99256</v>
      </c>
      <c r="W36" s="50">
        <f t="shared" si="21"/>
        <v>1.4352</v>
      </c>
      <c r="X36" s="50">
        <f t="shared" si="22"/>
        <v>8.461942080520124E-2</v>
      </c>
      <c r="Y36" s="50">
        <f t="shared" si="23"/>
        <v>1.1546037943159224E-3</v>
      </c>
      <c r="AA36" t="s">
        <v>157</v>
      </c>
    </row>
    <row r="37" spans="1:27">
      <c r="A37" s="50" t="s">
        <v>144</v>
      </c>
      <c r="B37" s="50">
        <v>20.6</v>
      </c>
      <c r="C37" s="50">
        <f t="shared" si="7"/>
        <v>293.75</v>
      </c>
      <c r="D37" s="50">
        <v>1</v>
      </c>
      <c r="E37" s="50">
        <v>31.49</v>
      </c>
      <c r="F37" s="50">
        <f t="shared" si="8"/>
        <v>1628.502201</v>
      </c>
      <c r="G37" s="50">
        <f t="shared" si="9"/>
        <v>0.1628502201</v>
      </c>
      <c r="H37" s="50">
        <f t="shared" si="10"/>
        <v>12.117381972584351</v>
      </c>
      <c r="I37" s="50">
        <f t="shared" si="11"/>
        <v>7.0601567801987494E-2</v>
      </c>
      <c r="J37" s="50">
        <f t="shared" si="12"/>
        <v>604.49019210995368</v>
      </c>
      <c r="K37" s="50">
        <f t="shared" si="13"/>
        <v>50.374182675829474</v>
      </c>
      <c r="L37" s="50">
        <f t="shared" si="14"/>
        <v>12.839796657906131</v>
      </c>
      <c r="M37" s="50">
        <f t="shared" si="15"/>
        <v>8.931584506456916E-2</v>
      </c>
      <c r="N37" s="50">
        <v>2.1783186518495447E-2</v>
      </c>
      <c r="O37" s="50">
        <v>3.0072190775573913E-3</v>
      </c>
      <c r="P37" s="50">
        <f t="shared" si="16"/>
        <v>1.3261633141929963E-2</v>
      </c>
      <c r="Q37" s="50">
        <f t="shared" si="17"/>
        <v>6.5999395822645699E-3</v>
      </c>
      <c r="R37" s="50">
        <f t="shared" si="18"/>
        <v>13.012361826762712</v>
      </c>
      <c r="S37" s="50">
        <f t="shared" si="19"/>
        <v>0.12557183428264346</v>
      </c>
      <c r="T37" s="50">
        <v>50.5</v>
      </c>
      <c r="U37" s="50">
        <v>0.5</v>
      </c>
      <c r="V37" s="50">
        <f t="shared" si="20"/>
        <v>149.71480000000003</v>
      </c>
      <c r="W37" s="50">
        <f t="shared" si="21"/>
        <v>1.4352</v>
      </c>
      <c r="X37" s="50">
        <f t="shared" si="22"/>
        <v>8.6914331961587696E-2</v>
      </c>
      <c r="Y37" s="50">
        <f t="shared" si="23"/>
        <v>1.1822330498912233E-3</v>
      </c>
      <c r="AA37">
        <f>AVERAGE(X36:X39)</f>
        <v>8.623008473785912E-2</v>
      </c>
    </row>
    <row r="38" spans="1:27">
      <c r="A38" s="50" t="s">
        <v>145</v>
      </c>
      <c r="B38" s="50">
        <v>21</v>
      </c>
      <c r="C38" s="50">
        <f t="shared" si="7"/>
        <v>294.14999999999998</v>
      </c>
      <c r="D38" s="50">
        <v>1</v>
      </c>
      <c r="E38" s="50">
        <v>31.79</v>
      </c>
      <c r="F38" s="50">
        <f t="shared" si="8"/>
        <v>1644.0166709999999</v>
      </c>
      <c r="G38" s="50">
        <f t="shared" si="9"/>
        <v>0.16440166709999998</v>
      </c>
      <c r="H38" s="50">
        <f t="shared" si="10"/>
        <v>12.216187449686059</v>
      </c>
      <c r="I38" s="50">
        <f t="shared" si="11"/>
        <v>7.1144227857288217E-2</v>
      </c>
      <c r="J38" s="50">
        <f t="shared" si="12"/>
        <v>610.1965093543588</v>
      </c>
      <c r="K38" s="50">
        <f t="shared" si="13"/>
        <v>50.849709112863231</v>
      </c>
      <c r="L38" s="50">
        <f t="shared" si="14"/>
        <v>12.944308452252244</v>
      </c>
      <c r="M38" s="50">
        <f t="shared" si="15"/>
        <v>9.0013191241696336E-2</v>
      </c>
      <c r="N38" s="50">
        <v>2.1899276294342691E-2</v>
      </c>
      <c r="O38" s="50">
        <v>3.0254447358659762E-3</v>
      </c>
      <c r="P38" s="50">
        <f t="shared" si="16"/>
        <v>1.3332308753026064E-2</v>
      </c>
      <c r="Q38" s="50">
        <f t="shared" si="17"/>
        <v>6.6354843576611902E-3</v>
      </c>
      <c r="R38" s="50">
        <f t="shared" si="18"/>
        <v>13.119217916108028</v>
      </c>
      <c r="S38" s="50">
        <f t="shared" si="19"/>
        <v>0.12691381301659549</v>
      </c>
      <c r="T38" s="50">
        <v>50.4</v>
      </c>
      <c r="U38" s="50">
        <v>0.5</v>
      </c>
      <c r="V38" s="50">
        <f t="shared" si="20"/>
        <v>150.00184000000002</v>
      </c>
      <c r="W38" s="50">
        <f t="shared" si="21"/>
        <v>1.4352</v>
      </c>
      <c r="X38" s="50">
        <f t="shared" si="22"/>
        <v>8.7460379926726409E-2</v>
      </c>
      <c r="Y38" s="50">
        <f t="shared" si="23"/>
        <v>1.1900026560052752E-3</v>
      </c>
    </row>
    <row r="39" spans="1:27">
      <c r="A39" s="50" t="s">
        <v>146</v>
      </c>
      <c r="B39" s="50">
        <v>21</v>
      </c>
      <c r="C39" s="50">
        <f t="shared" si="7"/>
        <v>294.14999999999998</v>
      </c>
      <c r="D39" s="50">
        <v>1</v>
      </c>
      <c r="E39" s="50">
        <v>32.04</v>
      </c>
      <c r="F39" s="50">
        <f t="shared" si="8"/>
        <v>1656.9453959999998</v>
      </c>
      <c r="G39" s="50">
        <f t="shared" si="9"/>
        <v>0.1656945396</v>
      </c>
      <c r="H39" s="50">
        <f t="shared" si="10"/>
        <v>12.312256869705609</v>
      </c>
      <c r="I39" s="50">
        <f t="shared" si="11"/>
        <v>7.1703713763684007E-2</v>
      </c>
      <c r="J39" s="50">
        <f t="shared" si="12"/>
        <v>614.95177372469618</v>
      </c>
      <c r="K39" s="50">
        <f t="shared" si="13"/>
        <v>51.245981143724684</v>
      </c>
      <c r="L39" s="50">
        <f t="shared" si="14"/>
        <v>13.045133136642132</v>
      </c>
      <c r="M39" s="50">
        <f t="shared" si="15"/>
        <v>9.0679400494979898E-2</v>
      </c>
      <c r="N39" s="50">
        <v>2.3489245935043687E-2</v>
      </c>
      <c r="O39" s="50">
        <v>3.2454114407044765E-3</v>
      </c>
      <c r="P39" s="50">
        <f t="shared" si="16"/>
        <v>1.4300284400844149E-2</v>
      </c>
      <c r="Q39" s="50">
        <f t="shared" si="17"/>
        <v>7.1172974858314461E-3</v>
      </c>
      <c r="R39" s="50">
        <f t="shared" si="18"/>
        <v>13.234388658327523</v>
      </c>
      <c r="S39" s="50">
        <f t="shared" si="19"/>
        <v>0.13264505591527559</v>
      </c>
      <c r="T39" s="50">
        <v>49</v>
      </c>
      <c r="U39" s="50">
        <v>0.5</v>
      </c>
      <c r="V39" s="50">
        <f t="shared" si="20"/>
        <v>154.02040000000002</v>
      </c>
      <c r="W39" s="50">
        <f t="shared" si="21"/>
        <v>1.4352</v>
      </c>
      <c r="X39" s="50">
        <f t="shared" si="22"/>
        <v>8.5926206257921162E-2</v>
      </c>
      <c r="Y39" s="50">
        <f t="shared" si="23"/>
        <v>1.1759193951352896E-3</v>
      </c>
      <c r="AA39" t="s">
        <v>204</v>
      </c>
    </row>
    <row r="40" spans="1:27">
      <c r="A40" s="50"/>
      <c r="B40" s="50"/>
      <c r="C40" s="50"/>
      <c r="D40" s="50"/>
      <c r="E40" s="50"/>
      <c r="F40" s="50"/>
      <c r="G40" s="50"/>
      <c r="H40" s="50"/>
      <c r="I40" s="50"/>
      <c r="J40" s="50"/>
      <c r="K40" s="50"/>
      <c r="Q40" s="50"/>
      <c r="R40" s="50"/>
      <c r="S40" s="50"/>
      <c r="T40" s="50"/>
      <c r="U40" s="50"/>
      <c r="V40" s="50"/>
      <c r="W40" s="50"/>
      <c r="X40" s="50"/>
      <c r="Y40" s="50"/>
      <c r="AA40">
        <f>AVERAGE(X26,X36)</f>
        <v>8.228534127923573E-2</v>
      </c>
    </row>
    <row r="41" spans="1:27">
      <c r="A41" s="50"/>
      <c r="B41" s="50"/>
      <c r="C41" s="50"/>
      <c r="D41" s="50"/>
      <c r="E41" s="50"/>
      <c r="F41" s="50"/>
      <c r="G41" s="50"/>
      <c r="H41" s="50"/>
      <c r="I41" s="50"/>
      <c r="J41" s="50"/>
      <c r="K41" s="50" t="s">
        <v>124</v>
      </c>
      <c r="L41" s="50"/>
      <c r="M41" s="50"/>
      <c r="N41" s="50"/>
      <c r="O41" s="50">
        <v>0.60880133999999997</v>
      </c>
      <c r="Q41" s="50"/>
      <c r="R41" s="50"/>
      <c r="S41" s="50"/>
      <c r="T41" s="50"/>
      <c r="U41" s="50"/>
      <c r="V41" s="50"/>
      <c r="W41" s="50"/>
      <c r="X41" s="50"/>
      <c r="Y41" s="50"/>
      <c r="AA41" t="s">
        <v>92</v>
      </c>
    </row>
    <row r="42" spans="1:27">
      <c r="A42" s="50"/>
      <c r="B42" s="50"/>
      <c r="C42" s="50"/>
      <c r="D42" s="50"/>
      <c r="E42" s="50"/>
      <c r="F42" s="50"/>
      <c r="G42" s="50"/>
      <c r="H42" s="50"/>
      <c r="I42" s="50"/>
      <c r="J42" s="50"/>
      <c r="K42" s="50" t="s">
        <v>1</v>
      </c>
      <c r="L42" s="50"/>
      <c r="M42" s="50"/>
      <c r="N42" s="50"/>
      <c r="O42" s="50">
        <f>0.1455464*2</f>
        <v>0.29109279999999998</v>
      </c>
      <c r="P42" s="50"/>
      <c r="Q42" s="50"/>
      <c r="R42" s="50"/>
      <c r="S42" s="50"/>
      <c r="T42" s="50"/>
      <c r="U42" s="50"/>
      <c r="V42" s="50"/>
      <c r="W42" s="50"/>
      <c r="X42" s="50"/>
      <c r="Y42" s="50"/>
      <c r="AA42">
        <f>STDEV(X26,X36)</f>
        <v>3.3008869212777891E-3</v>
      </c>
    </row>
    <row r="43" spans="1:27">
      <c r="A43" s="50" t="s">
        <v>148</v>
      </c>
      <c r="B43" s="50"/>
      <c r="C43" s="50"/>
      <c r="D43" s="50"/>
      <c r="E43" s="50"/>
      <c r="F43" s="50"/>
      <c r="G43" s="50"/>
      <c r="H43" s="50"/>
      <c r="I43" s="50"/>
      <c r="J43" s="50"/>
      <c r="K43" s="50"/>
      <c r="L43" s="50"/>
      <c r="M43" s="50"/>
      <c r="N43" s="50"/>
      <c r="O43" s="50"/>
      <c r="P43" s="50"/>
      <c r="Q43" s="50"/>
      <c r="R43" s="50"/>
      <c r="S43" s="50"/>
      <c r="T43" s="50"/>
      <c r="U43" s="50"/>
      <c r="V43" s="50"/>
      <c r="W43" s="50"/>
      <c r="X43" s="50"/>
      <c r="Y43" s="50"/>
    </row>
    <row r="44" spans="1:27" ht="51">
      <c r="A44" s="52"/>
      <c r="B44" s="52" t="s">
        <v>125</v>
      </c>
      <c r="C44" s="52" t="s">
        <v>1</v>
      </c>
      <c r="D44" s="52" t="s">
        <v>126</v>
      </c>
      <c r="E44" s="52" t="s">
        <v>1</v>
      </c>
      <c r="F44" s="52" t="s">
        <v>127</v>
      </c>
      <c r="G44" s="52" t="s">
        <v>1</v>
      </c>
      <c r="H44" s="52" t="s">
        <v>128</v>
      </c>
      <c r="I44" s="52" t="s">
        <v>1</v>
      </c>
      <c r="J44" s="52" t="s">
        <v>129</v>
      </c>
      <c r="K44" s="52" t="s">
        <v>1</v>
      </c>
      <c r="L44" s="52"/>
      <c r="M44" s="52"/>
      <c r="N44" s="52"/>
      <c r="O44" s="52"/>
      <c r="P44" s="50"/>
      <c r="Q44" s="50"/>
      <c r="R44" s="50"/>
      <c r="S44" s="50"/>
      <c r="T44" s="50"/>
      <c r="U44" s="50"/>
      <c r="V44" s="50"/>
      <c r="W44" s="50"/>
      <c r="X44" s="50"/>
      <c r="Y44" s="50"/>
    </row>
    <row r="45" spans="1:27">
      <c r="A45" s="51" t="s">
        <v>149</v>
      </c>
      <c r="B45" s="50">
        <v>550</v>
      </c>
      <c r="C45" s="50">
        <v>50</v>
      </c>
      <c r="D45" s="50">
        <v>40</v>
      </c>
      <c r="E45" s="50">
        <v>10</v>
      </c>
      <c r="F45" s="50">
        <f>B45/760*273/283*D45</f>
        <v>27.924493211828157</v>
      </c>
      <c r="G45" s="50">
        <f>F45*SQRT((C45/B45)^2+(E45/D45)^2)</f>
        <v>7.4283593909858139</v>
      </c>
      <c r="H45" s="50">
        <f>4.5*20</f>
        <v>90</v>
      </c>
      <c r="I45" s="50">
        <f>1*20</f>
        <v>20</v>
      </c>
      <c r="J45" s="50">
        <f>F45+H45</f>
        <v>117.92449321182815</v>
      </c>
      <c r="K45" s="50">
        <f>SQRT(G45^2+I45^2)</f>
        <v>21.334960118117099</v>
      </c>
      <c r="L45" s="50"/>
      <c r="M45" s="50"/>
      <c r="N45" s="50"/>
      <c r="O45" s="50"/>
      <c r="P45" s="50"/>
      <c r="Q45" s="50"/>
      <c r="R45" s="50"/>
      <c r="S45" s="50"/>
      <c r="T45" s="50"/>
      <c r="U45" s="50"/>
      <c r="V45" s="50"/>
      <c r="W45" s="50"/>
      <c r="X45" s="50"/>
      <c r="Y45" s="50"/>
    </row>
    <row r="46" spans="1:27">
      <c r="A46" s="50"/>
      <c r="B46" s="50"/>
      <c r="C46" s="50"/>
      <c r="D46" s="50"/>
      <c r="E46" s="50"/>
      <c r="F46" s="50"/>
      <c r="G46" s="50"/>
      <c r="H46" s="50"/>
      <c r="I46" s="50"/>
      <c r="J46" s="50"/>
      <c r="K46" s="50"/>
      <c r="L46" s="50"/>
      <c r="M46" s="50"/>
      <c r="N46" s="50"/>
      <c r="O46" s="50"/>
      <c r="P46" s="50"/>
      <c r="Q46" s="50"/>
      <c r="R46" s="50"/>
      <c r="S46" s="50"/>
      <c r="T46" s="50"/>
      <c r="U46" s="50"/>
      <c r="V46" s="50"/>
      <c r="W46" s="50"/>
      <c r="X46" s="50"/>
      <c r="Y46" s="50"/>
    </row>
    <row r="47" spans="1:27">
      <c r="A47" s="51" t="s">
        <v>158</v>
      </c>
      <c r="B47" s="50" t="s">
        <v>159</v>
      </c>
      <c r="C47" s="50"/>
      <c r="D47" s="50">
        <v>6024</v>
      </c>
      <c r="E47" s="50" t="s">
        <v>161</v>
      </c>
      <c r="F47" s="50"/>
      <c r="G47" s="50"/>
      <c r="H47" s="50"/>
      <c r="I47" s="50"/>
      <c r="J47" s="50"/>
      <c r="K47" s="50"/>
      <c r="L47" s="50"/>
      <c r="M47" s="50"/>
      <c r="N47" s="50"/>
      <c r="O47" s="50"/>
      <c r="P47" s="50"/>
      <c r="Q47" s="50"/>
      <c r="R47" s="50"/>
      <c r="S47" s="50"/>
      <c r="T47" s="50"/>
      <c r="U47" s="50"/>
      <c r="V47" s="50"/>
      <c r="W47" s="50"/>
      <c r="X47" s="50"/>
      <c r="Y47" s="50"/>
    </row>
    <row r="48" spans="1:27">
      <c r="B48" t="s">
        <v>160</v>
      </c>
      <c r="D48">
        <v>6139</v>
      </c>
    </row>
    <row r="49" spans="2:4">
      <c r="B49" s="50" t="s">
        <v>162</v>
      </c>
      <c r="D49">
        <f>AVERAGE(D47:D48)</f>
        <v>6081.5</v>
      </c>
    </row>
    <row r="50" spans="2:4">
      <c r="B50" s="50" t="s">
        <v>10</v>
      </c>
      <c r="D50">
        <f>(D48-D47)/4</f>
        <v>28.75</v>
      </c>
    </row>
  </sheetData>
  <phoneticPr fontId="2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C453-9786-9049-AFF6-B312B4C300EB}">
  <dimension ref="A3:G24"/>
  <sheetViews>
    <sheetView tabSelected="1" zoomScale="140" zoomScaleNormal="140" workbookViewId="0">
      <selection activeCell="A5" sqref="A5"/>
    </sheetView>
  </sheetViews>
  <sheetFormatPr baseColWidth="10" defaultRowHeight="16"/>
  <cols>
    <col min="1" max="1" width="32.83203125" customWidth="1"/>
    <col min="6" max="6" width="13.5" customWidth="1"/>
  </cols>
  <sheetData>
    <row r="3" spans="1:7" ht="85">
      <c r="A3" t="s">
        <v>70</v>
      </c>
      <c r="B3" t="s">
        <v>96</v>
      </c>
      <c r="C3" s="6" t="s">
        <v>270</v>
      </c>
      <c r="D3" s="6" t="s">
        <v>257</v>
      </c>
      <c r="F3" s="6" t="s">
        <v>265</v>
      </c>
      <c r="G3" s="6" t="s">
        <v>266</v>
      </c>
    </row>
    <row r="4" spans="1:7">
      <c r="A4" s="53" t="s">
        <v>262</v>
      </c>
      <c r="C4" s="6"/>
      <c r="D4" s="6"/>
    </row>
    <row r="5" spans="1:7">
      <c r="A5" t="s">
        <v>40</v>
      </c>
      <c r="B5">
        <v>34</v>
      </c>
      <c r="C5" s="63">
        <f>'14CO analysis'!AY49</f>
        <v>46.438966945221104</v>
      </c>
      <c r="D5" s="63">
        <f>'14CO analysis'!AZ49</f>
        <v>1.1433094642755495</v>
      </c>
    </row>
    <row r="6" spans="1:7">
      <c r="A6" t="s">
        <v>51</v>
      </c>
      <c r="B6">
        <v>54.5</v>
      </c>
      <c r="C6" s="63">
        <f>'14CO analysis'!AY60</f>
        <v>28.289650398973222</v>
      </c>
      <c r="D6" s="63">
        <f>'14CO analysis'!AZ60</f>
        <v>0.74924912512303032</v>
      </c>
    </row>
    <row r="7" spans="1:7">
      <c r="A7" t="s">
        <v>37</v>
      </c>
      <c r="B7">
        <v>75</v>
      </c>
      <c r="C7" s="63">
        <f>'14CO analysis'!AY46</f>
        <v>18.807095192170678</v>
      </c>
      <c r="D7" s="63">
        <f>'14CO analysis'!AZ46</f>
        <v>0.54312360102096202</v>
      </c>
    </row>
    <row r="8" spans="1:7">
      <c r="A8" t="s">
        <v>43</v>
      </c>
      <c r="B8">
        <v>110</v>
      </c>
      <c r="C8" s="63">
        <f>'14CO analysis'!AY52</f>
        <v>18.66939744311377</v>
      </c>
      <c r="D8" s="63">
        <f>'14CO analysis'!AZ52</f>
        <v>0.8850884804593947</v>
      </c>
      <c r="F8" s="63">
        <v>434.48358137500003</v>
      </c>
      <c r="G8" s="63">
        <f>F8+76</f>
        <v>510.48358137500003</v>
      </c>
    </row>
    <row r="9" spans="1:7">
      <c r="A9" t="s">
        <v>45</v>
      </c>
      <c r="B9">
        <v>150</v>
      </c>
      <c r="C9" s="63">
        <f>'14CO analysis'!AY54</f>
        <v>26.848804642900543</v>
      </c>
      <c r="D9" s="63">
        <f>'14CO analysis'!AZ54</f>
        <v>0.67959928850537565</v>
      </c>
      <c r="F9" s="63">
        <v>1901.4859696599999</v>
      </c>
      <c r="G9" s="63">
        <f t="shared" ref="G9:G21" si="0">F9+76</f>
        <v>1977.4859696599999</v>
      </c>
    </row>
    <row r="10" spans="1:7">
      <c r="A10" t="s">
        <v>47</v>
      </c>
      <c r="B10">
        <v>170</v>
      </c>
      <c r="C10" s="63">
        <f>'14CO analysis'!AY56</f>
        <v>28.480673944645488</v>
      </c>
      <c r="D10" s="63">
        <f>'14CO analysis'!AZ56</f>
        <v>0.5732403646684654</v>
      </c>
      <c r="F10" s="63">
        <v>2717.5735988500001</v>
      </c>
      <c r="G10" s="63">
        <f t="shared" si="0"/>
        <v>2793.5735988500001</v>
      </c>
    </row>
    <row r="11" spans="1:7">
      <c r="A11" t="s">
        <v>52</v>
      </c>
      <c r="B11">
        <v>190.5</v>
      </c>
      <c r="C11" s="63">
        <f>'14CO analysis'!AY61</f>
        <v>29.289987026316787</v>
      </c>
      <c r="D11" s="63">
        <f>'14CO analysis'!AZ61</f>
        <v>0.60158560203337785</v>
      </c>
      <c r="F11" s="63">
        <v>3323.0277578499999</v>
      </c>
      <c r="G11" s="63">
        <f t="shared" si="0"/>
        <v>3399.0277578499999</v>
      </c>
    </row>
    <row r="12" spans="1:7">
      <c r="A12" t="s">
        <v>35</v>
      </c>
      <c r="B12">
        <v>211</v>
      </c>
      <c r="C12" s="63">
        <f>'14CO analysis'!AY44</f>
        <v>29.666007734675759</v>
      </c>
      <c r="D12" s="63">
        <f>'14CO analysis'!AZ44</f>
        <v>0.7224004093546349</v>
      </c>
      <c r="F12" s="63">
        <v>4118.90906084158</v>
      </c>
      <c r="G12" s="63">
        <f t="shared" si="0"/>
        <v>4194.90906084158</v>
      </c>
    </row>
    <row r="13" spans="1:7">
      <c r="A13" t="s">
        <v>49</v>
      </c>
      <c r="B13">
        <v>230.92500000000001</v>
      </c>
      <c r="C13" s="63">
        <f>'14CO analysis'!AY58</f>
        <v>28.951244684125932</v>
      </c>
      <c r="D13" s="63">
        <f>'14CO analysis'!AZ58</f>
        <v>0.65598266788297066</v>
      </c>
      <c r="F13" s="63">
        <v>4761.7980844536096</v>
      </c>
      <c r="G13" s="63">
        <f t="shared" si="0"/>
        <v>4837.7980844536096</v>
      </c>
    </row>
    <row r="14" spans="1:7">
      <c r="A14" t="s">
        <v>39</v>
      </c>
      <c r="B14">
        <v>250.92500000000001</v>
      </c>
      <c r="C14" s="63">
        <f>'14CO analysis'!AY48</f>
        <v>28.889061295328172</v>
      </c>
      <c r="D14" s="63">
        <f>'14CO analysis'!AZ48</f>
        <v>0.56696370779270477</v>
      </c>
      <c r="F14" s="63">
        <v>5493.2136676859</v>
      </c>
      <c r="G14" s="63">
        <f t="shared" si="0"/>
        <v>5569.2136676859</v>
      </c>
    </row>
    <row r="15" spans="1:7">
      <c r="A15" t="s">
        <v>44</v>
      </c>
      <c r="B15">
        <v>270.83999999999997</v>
      </c>
      <c r="C15" s="63">
        <f>'14CO analysis'!AY53</f>
        <v>28.176449139066683</v>
      </c>
      <c r="D15" s="63">
        <f>'14CO analysis'!AZ53</f>
        <v>0.5385874169255993</v>
      </c>
      <c r="F15" s="63">
        <v>6235.1383986527999</v>
      </c>
      <c r="G15" s="63">
        <f t="shared" si="0"/>
        <v>6311.1383986527999</v>
      </c>
    </row>
    <row r="16" spans="1:7">
      <c r="A16" t="s">
        <v>34</v>
      </c>
      <c r="B16">
        <v>290.685</v>
      </c>
      <c r="C16" s="63">
        <f>'14CO analysis'!AY43</f>
        <v>25.887557034509282</v>
      </c>
      <c r="D16" s="63">
        <f>'14CO analysis'!AZ43</f>
        <v>0.47354766354073102</v>
      </c>
      <c r="F16" s="63">
        <v>7001.6650668298598</v>
      </c>
      <c r="G16" s="63">
        <f t="shared" si="0"/>
        <v>7077.6650668298598</v>
      </c>
    </row>
    <row r="17" spans="1:7">
      <c r="A17" s="53" t="s">
        <v>263</v>
      </c>
      <c r="C17" s="63"/>
      <c r="D17" s="63"/>
      <c r="F17" s="63"/>
      <c r="G17" s="63"/>
    </row>
    <row r="18" spans="1:7">
      <c r="A18" t="s">
        <v>41</v>
      </c>
      <c r="B18">
        <v>109.96</v>
      </c>
      <c r="C18" s="63">
        <f>'14CO analysis'!AY50</f>
        <v>18.546770689310204</v>
      </c>
      <c r="D18" s="63">
        <f>'14CO analysis'!AZ50</f>
        <v>0.81599852250120997</v>
      </c>
      <c r="F18" s="63">
        <v>433.25836915500003</v>
      </c>
      <c r="G18" s="63">
        <f t="shared" si="0"/>
        <v>509.25836915500003</v>
      </c>
    </row>
    <row r="19" spans="1:7">
      <c r="A19" t="s">
        <v>46</v>
      </c>
      <c r="B19">
        <v>129.84</v>
      </c>
      <c r="C19" s="63">
        <f>'14CO analysis'!AY55</f>
        <v>21.737239251954705</v>
      </c>
      <c r="D19" s="63">
        <f>'14CO analysis'!AZ55</f>
        <v>0.52162706553304206</v>
      </c>
      <c r="F19" s="63">
        <v>1145.8958767399999</v>
      </c>
      <c r="G19" s="63">
        <f t="shared" si="0"/>
        <v>1221.8958767399999</v>
      </c>
    </row>
    <row r="20" spans="1:7">
      <c r="A20" t="s">
        <v>36</v>
      </c>
      <c r="B20">
        <v>149.73500000000001</v>
      </c>
      <c r="C20" s="63">
        <f>'14CO analysis'!AY45</f>
        <v>27.087812062085774</v>
      </c>
      <c r="D20" s="63">
        <f>'14CO analysis'!AZ45</f>
        <v>0.50630840555491374</v>
      </c>
      <c r="F20" s="63">
        <v>1891.5049722419999</v>
      </c>
      <c r="G20" s="63">
        <f t="shared" si="0"/>
        <v>1967.5049722419999</v>
      </c>
    </row>
    <row r="21" spans="1:7">
      <c r="A21" t="s">
        <v>54</v>
      </c>
      <c r="B21">
        <v>169.67</v>
      </c>
      <c r="C21" s="63">
        <f>'14CO analysis'!AY63</f>
        <v>27.511040438608489</v>
      </c>
      <c r="D21" s="63">
        <f>'14CO analysis'!AZ63</f>
        <v>0.68973371036697539</v>
      </c>
      <c r="F21" s="63">
        <v>2706.5433224533299</v>
      </c>
      <c r="G21" s="63">
        <f t="shared" si="0"/>
        <v>2782.5433224533299</v>
      </c>
    </row>
    <row r="24" spans="1:7">
      <c r="A24" t="s">
        <v>264</v>
      </c>
      <c r="C24" s="63">
        <f>AVERAGE(C8,C18)</f>
        <v>18.608084066211987</v>
      </c>
    </row>
  </sheetData>
  <sortState xmlns:xlrd2="http://schemas.microsoft.com/office/spreadsheetml/2017/richdata2" ref="A8:D16">
    <sortCondition ref="B8:B16"/>
  </sortState>
  <pageMargins left="0.7" right="0.7" top="0.75" bottom="0.75" header="0.3" footer="0.3"/>
  <pageSetup orientation="portrait" horizontalDpi="0" verticalDpi="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BD187-79A3-5845-9859-AE239DAEE3E1}">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Empir ANSTO corr wheel2 only </vt:lpstr>
      <vt:lpstr>Empir ANSTO corr</vt:lpstr>
      <vt:lpstr>14CO analysis</vt:lpstr>
      <vt:lpstr>14C-free water blanks</vt:lpstr>
      <vt:lpstr>Hot melter wall blank</vt:lpstr>
      <vt:lpstr>Air Content</vt:lpstr>
      <vt:lpstr>14CO vs depth</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Petrenko, Vasilii</dc:creator>
  <cp:lastModifiedBy>Petrenko, Vasilii</cp:lastModifiedBy>
  <dcterms:created xsi:type="dcterms:W3CDTF">2026-06-06T13:36:37Z</dcterms:created>
  <dcterms:modified xsi:type="dcterms:W3CDTF">2026-06-17T22:44:21Z</dcterms:modified>
</cp:coreProperties>
</file>